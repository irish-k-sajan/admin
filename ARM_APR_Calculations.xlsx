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rishk.sajan\Desktop\"/>
    </mc:Choice>
  </mc:AlternateContent>
  <xr:revisionPtr revIDLastSave="0" documentId="13_ncr:1_{10BCC906-1552-4CF6-9006-1E452D6E99F6}" xr6:coauthVersionLast="47" xr6:coauthVersionMax="47" xr10:uidLastSave="{00000000-0000-0000-0000-000000000000}"/>
  <bookViews>
    <workbookView xWindow="-110" yWindow="-110" windowWidth="19420" windowHeight="11500" activeTab="1" xr2:uid="{229D1BF8-1D05-479E-8322-FB1670EB774A}"/>
  </bookViews>
  <sheets>
    <sheet name="Sheet1" sheetId="1" r:id="rId1"/>
    <sheet name="Sheet2" sheetId="3" r:id="rId2"/>
    <sheet name="Sheet3" sheetId="4" r:id="rId3"/>
    <sheet name="Questions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" i="3" l="1"/>
  <c r="G15" i="3"/>
  <c r="G6" i="3"/>
  <c r="I10" i="3"/>
  <c r="G10" i="3"/>
  <c r="M89" i="3"/>
  <c r="D28" i="3"/>
  <c r="D29" i="3"/>
  <c r="D30" i="3"/>
  <c r="D31" i="3"/>
  <c r="L31" i="3"/>
  <c r="C96" i="3"/>
  <c r="F96" i="3"/>
  <c r="J96" i="3" s="1"/>
  <c r="C97" i="3"/>
  <c r="F97" i="3"/>
  <c r="J97" i="3" s="1"/>
  <c r="C98" i="3"/>
  <c r="F98" i="3"/>
  <c r="J98" i="3"/>
  <c r="C99" i="3"/>
  <c r="F99" i="3"/>
  <c r="J99" i="3" s="1"/>
  <c r="C100" i="3"/>
  <c r="F100" i="3"/>
  <c r="J100" i="3"/>
  <c r="C101" i="3"/>
  <c r="F101" i="3"/>
  <c r="J101" i="3" s="1"/>
  <c r="C102" i="3"/>
  <c r="F102" i="3"/>
  <c r="J102" i="3" s="1"/>
  <c r="C103" i="3"/>
  <c r="F103" i="3"/>
  <c r="J103" i="3" s="1"/>
  <c r="C104" i="3"/>
  <c r="F104" i="3"/>
  <c r="J104" i="3"/>
  <c r="C105" i="3"/>
  <c r="F105" i="3"/>
  <c r="J105" i="3" s="1"/>
  <c r="C106" i="3"/>
  <c r="F106" i="3"/>
  <c r="J106" i="3" s="1"/>
  <c r="C107" i="3"/>
  <c r="F107" i="3"/>
  <c r="J107" i="3" s="1"/>
  <c r="C108" i="3"/>
  <c r="F108" i="3"/>
  <c r="J108" i="3" s="1"/>
  <c r="C109" i="3"/>
  <c r="F109" i="3"/>
  <c r="J109" i="3" s="1"/>
  <c r="C110" i="3"/>
  <c r="F110" i="3"/>
  <c r="J110" i="3"/>
  <c r="C111" i="3"/>
  <c r="F111" i="3"/>
  <c r="J111" i="3"/>
  <c r="C112" i="3"/>
  <c r="F112" i="3"/>
  <c r="J112" i="3"/>
  <c r="C113" i="3"/>
  <c r="F113" i="3"/>
  <c r="J113" i="3" s="1"/>
  <c r="C114" i="3"/>
  <c r="F114" i="3"/>
  <c r="J114" i="3" s="1"/>
  <c r="C115" i="3"/>
  <c r="F115" i="3"/>
  <c r="J115" i="3"/>
  <c r="C116" i="3"/>
  <c r="F116" i="3"/>
  <c r="J116" i="3" s="1"/>
  <c r="C117" i="3"/>
  <c r="F117" i="3"/>
  <c r="J117" i="3"/>
  <c r="C118" i="3"/>
  <c r="F118" i="3"/>
  <c r="J118" i="3"/>
  <c r="C119" i="3"/>
  <c r="F119" i="3"/>
  <c r="J119" i="3" s="1"/>
  <c r="C120" i="3"/>
  <c r="F120" i="3"/>
  <c r="J120" i="3" s="1"/>
  <c r="C121" i="3"/>
  <c r="F121" i="3"/>
  <c r="J121" i="3"/>
  <c r="C122" i="3"/>
  <c r="F122" i="3"/>
  <c r="J122" i="3" s="1"/>
  <c r="C123" i="3"/>
  <c r="F123" i="3"/>
  <c r="J123" i="3" s="1"/>
  <c r="C124" i="3"/>
  <c r="F124" i="3"/>
  <c r="J124" i="3" s="1"/>
  <c r="C125" i="3"/>
  <c r="F125" i="3"/>
  <c r="J125" i="3"/>
  <c r="C126" i="3"/>
  <c r="F126" i="3"/>
  <c r="J126" i="3" s="1"/>
  <c r="C127" i="3"/>
  <c r="F127" i="3"/>
  <c r="J127" i="3" s="1"/>
  <c r="C128" i="3"/>
  <c r="F128" i="3"/>
  <c r="J128" i="3" s="1"/>
  <c r="C129" i="3"/>
  <c r="F129" i="3"/>
  <c r="J129" i="3" s="1"/>
  <c r="C130" i="3"/>
  <c r="F130" i="3"/>
  <c r="J130" i="3" s="1"/>
  <c r="C131" i="3"/>
  <c r="F131" i="3"/>
  <c r="J131" i="3" s="1"/>
  <c r="C132" i="3"/>
  <c r="F132" i="3"/>
  <c r="J132" i="3" s="1"/>
  <c r="C133" i="3"/>
  <c r="F133" i="3"/>
  <c r="J133" i="3"/>
  <c r="C134" i="3"/>
  <c r="F134" i="3"/>
  <c r="J134" i="3" s="1"/>
  <c r="C135" i="3"/>
  <c r="F135" i="3"/>
  <c r="J135" i="3"/>
  <c r="C136" i="3"/>
  <c r="F136" i="3"/>
  <c r="J136" i="3" s="1"/>
  <c r="C137" i="3"/>
  <c r="F137" i="3"/>
  <c r="J137" i="3" s="1"/>
  <c r="C138" i="3"/>
  <c r="F138" i="3"/>
  <c r="J138" i="3"/>
  <c r="C139" i="3"/>
  <c r="F139" i="3"/>
  <c r="J139" i="3" s="1"/>
  <c r="C140" i="3"/>
  <c r="F140" i="3"/>
  <c r="J140" i="3" s="1"/>
  <c r="C141" i="3"/>
  <c r="F141" i="3"/>
  <c r="J141" i="3" s="1"/>
  <c r="C142" i="3"/>
  <c r="F142" i="3"/>
  <c r="J142" i="3" s="1"/>
  <c r="C143" i="3"/>
  <c r="F143" i="3"/>
  <c r="J143" i="3" s="1"/>
  <c r="C144" i="3"/>
  <c r="F144" i="3"/>
  <c r="J144" i="3"/>
  <c r="C145" i="3"/>
  <c r="F145" i="3"/>
  <c r="J145" i="3" s="1"/>
  <c r="C146" i="3"/>
  <c r="F146" i="3"/>
  <c r="J146" i="3" s="1"/>
  <c r="C147" i="3"/>
  <c r="F147" i="3"/>
  <c r="J147" i="3"/>
  <c r="C148" i="3"/>
  <c r="F148" i="3"/>
  <c r="J148" i="3"/>
  <c r="C149" i="3"/>
  <c r="F149" i="3"/>
  <c r="J149" i="3"/>
  <c r="C150" i="3"/>
  <c r="F150" i="3"/>
  <c r="J150" i="3" s="1"/>
  <c r="C151" i="3"/>
  <c r="F151" i="3"/>
  <c r="J151" i="3" s="1"/>
  <c r="C152" i="3"/>
  <c r="F152" i="3"/>
  <c r="J152" i="3"/>
  <c r="C153" i="3"/>
  <c r="F153" i="3"/>
  <c r="J153" i="3" s="1"/>
  <c r="C154" i="3"/>
  <c r="F154" i="3"/>
  <c r="J154" i="3" s="1"/>
  <c r="C155" i="3"/>
  <c r="F155" i="3"/>
  <c r="J155" i="3" s="1"/>
  <c r="C156" i="3"/>
  <c r="F156" i="3"/>
  <c r="J156" i="3"/>
  <c r="C157" i="3"/>
  <c r="F157" i="3"/>
  <c r="J157" i="3" s="1"/>
  <c r="C158" i="3"/>
  <c r="F158" i="3"/>
  <c r="J158" i="3" s="1"/>
  <c r="C159" i="3"/>
  <c r="F159" i="3"/>
  <c r="J159" i="3"/>
  <c r="C160" i="3"/>
  <c r="F160" i="3"/>
  <c r="J160" i="3"/>
  <c r="C161" i="3"/>
  <c r="F161" i="3"/>
  <c r="J161" i="3" s="1"/>
  <c r="C162" i="3"/>
  <c r="F162" i="3"/>
  <c r="J162" i="3" s="1"/>
  <c r="C163" i="3"/>
  <c r="F163" i="3"/>
  <c r="J163" i="3" s="1"/>
  <c r="C164" i="3"/>
  <c r="F164" i="3"/>
  <c r="J164" i="3" s="1"/>
  <c r="C165" i="3"/>
  <c r="F165" i="3"/>
  <c r="J165" i="3" s="1"/>
  <c r="C166" i="3"/>
  <c r="F166" i="3"/>
  <c r="J166" i="3"/>
  <c r="C167" i="3"/>
  <c r="F167" i="3"/>
  <c r="J167" i="3" s="1"/>
  <c r="C168" i="3"/>
  <c r="F168" i="3"/>
  <c r="J168" i="3" s="1"/>
  <c r="C169" i="3"/>
  <c r="F169" i="3"/>
  <c r="J169" i="3" s="1"/>
  <c r="C170" i="3"/>
  <c r="F170" i="3"/>
  <c r="J170" i="3"/>
  <c r="C171" i="3"/>
  <c r="F171" i="3"/>
  <c r="J171" i="3"/>
  <c r="C172" i="3"/>
  <c r="F172" i="3"/>
  <c r="J172" i="3" s="1"/>
  <c r="C173" i="3"/>
  <c r="F173" i="3"/>
  <c r="J173" i="3"/>
  <c r="C174" i="3"/>
  <c r="F174" i="3"/>
  <c r="J174" i="3" s="1"/>
  <c r="C175" i="3"/>
  <c r="F175" i="3"/>
  <c r="J175" i="3" s="1"/>
  <c r="C176" i="3"/>
  <c r="F176" i="3"/>
  <c r="J176" i="3" s="1"/>
  <c r="C177" i="3"/>
  <c r="F177" i="3"/>
  <c r="J177" i="3" s="1"/>
  <c r="C178" i="3"/>
  <c r="F178" i="3"/>
  <c r="J178" i="3"/>
  <c r="C179" i="3"/>
  <c r="F179" i="3"/>
  <c r="J179" i="3" s="1"/>
  <c r="C180" i="3"/>
  <c r="F180" i="3"/>
  <c r="J180" i="3" s="1"/>
  <c r="C181" i="3"/>
  <c r="F181" i="3"/>
  <c r="J181" i="3" s="1"/>
  <c r="C182" i="3"/>
  <c r="F182" i="3"/>
  <c r="J182" i="3"/>
  <c r="C183" i="3"/>
  <c r="F183" i="3"/>
  <c r="J183" i="3" s="1"/>
  <c r="C184" i="3"/>
  <c r="F184" i="3"/>
  <c r="J184" i="3"/>
  <c r="C185" i="3"/>
  <c r="F185" i="3"/>
  <c r="J185" i="3" s="1"/>
  <c r="C186" i="3"/>
  <c r="F186" i="3"/>
  <c r="J186" i="3"/>
  <c r="C187" i="3"/>
  <c r="F187" i="3"/>
  <c r="J187" i="3" s="1"/>
  <c r="C188" i="3"/>
  <c r="F188" i="3"/>
  <c r="J188" i="3" s="1"/>
  <c r="C189" i="3"/>
  <c r="F189" i="3"/>
  <c r="J189" i="3"/>
  <c r="C190" i="3"/>
  <c r="F190" i="3"/>
  <c r="J190" i="3" s="1"/>
  <c r="C191" i="3"/>
  <c r="F191" i="3"/>
  <c r="J191" i="3" s="1"/>
  <c r="C192" i="3"/>
  <c r="F192" i="3"/>
  <c r="J192" i="3"/>
  <c r="C193" i="3"/>
  <c r="F193" i="3"/>
  <c r="J193" i="3"/>
  <c r="C194" i="3"/>
  <c r="F194" i="3"/>
  <c r="J194" i="3"/>
  <c r="C195" i="3"/>
  <c r="F195" i="3"/>
  <c r="J195" i="3" s="1"/>
  <c r="C196" i="3"/>
  <c r="F196" i="3"/>
  <c r="J196" i="3" s="1"/>
  <c r="C197" i="3"/>
  <c r="F197" i="3"/>
  <c r="J197" i="3" s="1"/>
  <c r="C198" i="3"/>
  <c r="F198" i="3"/>
  <c r="J198" i="3" s="1"/>
  <c r="C199" i="3"/>
  <c r="F199" i="3"/>
  <c r="J199" i="3" s="1"/>
  <c r="C200" i="3"/>
  <c r="F200" i="3"/>
  <c r="J200" i="3"/>
  <c r="C201" i="3"/>
  <c r="F201" i="3"/>
  <c r="J201" i="3"/>
  <c r="C202" i="3"/>
  <c r="F202" i="3"/>
  <c r="J202" i="3"/>
  <c r="C203" i="3"/>
  <c r="F203" i="3"/>
  <c r="J203" i="3" s="1"/>
  <c r="C204" i="3"/>
  <c r="F204" i="3"/>
  <c r="J204" i="3" s="1"/>
  <c r="C205" i="3"/>
  <c r="F205" i="3"/>
  <c r="J205" i="3"/>
  <c r="C206" i="3"/>
  <c r="F206" i="3"/>
  <c r="J206" i="3"/>
  <c r="C207" i="3"/>
  <c r="F207" i="3"/>
  <c r="J207" i="3" s="1"/>
  <c r="C208" i="3"/>
  <c r="F208" i="3"/>
  <c r="J208" i="3" s="1"/>
  <c r="C209" i="3"/>
  <c r="F209" i="3"/>
  <c r="J209" i="3" s="1"/>
  <c r="C210" i="3"/>
  <c r="F210" i="3"/>
  <c r="J210" i="3" s="1"/>
  <c r="C211" i="3"/>
  <c r="F211" i="3"/>
  <c r="J211" i="3"/>
  <c r="C212" i="3"/>
  <c r="F212" i="3"/>
  <c r="J212" i="3" s="1"/>
  <c r="C213" i="3"/>
  <c r="F213" i="3"/>
  <c r="J213" i="3"/>
  <c r="C214" i="3"/>
  <c r="F214" i="3"/>
  <c r="J214" i="3" s="1"/>
  <c r="C215" i="3"/>
  <c r="F215" i="3"/>
  <c r="J215" i="3" s="1"/>
  <c r="C216" i="3"/>
  <c r="F216" i="3"/>
  <c r="J216" i="3"/>
  <c r="C217" i="3"/>
  <c r="F217" i="3"/>
  <c r="J217" i="3" s="1"/>
  <c r="C218" i="3"/>
  <c r="F218" i="3"/>
  <c r="J218" i="3" s="1"/>
  <c r="C219" i="3"/>
  <c r="F219" i="3"/>
  <c r="J219" i="3" s="1"/>
  <c r="C220" i="3"/>
  <c r="F220" i="3"/>
  <c r="J220" i="3" s="1"/>
  <c r="C221" i="3"/>
  <c r="F221" i="3"/>
  <c r="J221" i="3" s="1"/>
  <c r="C222" i="3"/>
  <c r="F222" i="3"/>
  <c r="J222" i="3"/>
  <c r="C223" i="3"/>
  <c r="F223" i="3"/>
  <c r="J223" i="3" s="1"/>
  <c r="C224" i="3"/>
  <c r="F224" i="3"/>
  <c r="J224" i="3" s="1"/>
  <c r="C225" i="3"/>
  <c r="F225" i="3"/>
  <c r="J225" i="3"/>
  <c r="C226" i="3"/>
  <c r="F226" i="3"/>
  <c r="J226" i="3" s="1"/>
  <c r="C227" i="3"/>
  <c r="F227" i="3"/>
  <c r="J227" i="3" s="1"/>
  <c r="C228" i="3"/>
  <c r="F228" i="3"/>
  <c r="J228" i="3" s="1"/>
  <c r="C229" i="3"/>
  <c r="F229" i="3"/>
  <c r="J229" i="3" s="1"/>
  <c r="C230" i="3"/>
  <c r="F230" i="3"/>
  <c r="J230" i="3"/>
  <c r="C231" i="3"/>
  <c r="F231" i="3"/>
  <c r="J231" i="3" s="1"/>
  <c r="C232" i="3"/>
  <c r="F232" i="3"/>
  <c r="J232" i="3"/>
  <c r="C233" i="3"/>
  <c r="F233" i="3"/>
  <c r="J233" i="3"/>
  <c r="C234" i="3"/>
  <c r="F234" i="3"/>
  <c r="J234" i="3" s="1"/>
  <c r="C235" i="3"/>
  <c r="F235" i="3"/>
  <c r="J235" i="3" s="1"/>
  <c r="C236" i="3"/>
  <c r="F236" i="3"/>
  <c r="J236" i="3"/>
  <c r="C237" i="3"/>
  <c r="F237" i="3"/>
  <c r="J237" i="3"/>
  <c r="C238" i="3"/>
  <c r="F238" i="3"/>
  <c r="J238" i="3" s="1"/>
  <c r="C239" i="3"/>
  <c r="F239" i="3"/>
  <c r="J239" i="3" s="1"/>
  <c r="C240" i="3"/>
  <c r="F240" i="3"/>
  <c r="J240" i="3" s="1"/>
  <c r="C241" i="3"/>
  <c r="F241" i="3"/>
  <c r="J241" i="3" s="1"/>
  <c r="C242" i="3"/>
  <c r="F242" i="3"/>
  <c r="J242" i="3"/>
  <c r="C243" i="3"/>
  <c r="F243" i="3"/>
  <c r="J243" i="3"/>
  <c r="C244" i="3"/>
  <c r="F244" i="3"/>
  <c r="J244" i="3" s="1"/>
  <c r="C245" i="3"/>
  <c r="F245" i="3"/>
  <c r="J245" i="3" s="1"/>
  <c r="C246" i="3"/>
  <c r="F246" i="3"/>
  <c r="J246" i="3"/>
  <c r="C247" i="3"/>
  <c r="F247" i="3"/>
  <c r="J247" i="3"/>
  <c r="C248" i="3"/>
  <c r="F248" i="3"/>
  <c r="J248" i="3"/>
  <c r="C249" i="3"/>
  <c r="F249" i="3"/>
  <c r="J249" i="3" s="1"/>
  <c r="C250" i="3"/>
  <c r="F250" i="3"/>
  <c r="J250" i="3" s="1"/>
  <c r="C251" i="3"/>
  <c r="F251" i="3"/>
  <c r="J251" i="3"/>
  <c r="C252" i="3"/>
  <c r="F252" i="3"/>
  <c r="J252" i="3"/>
  <c r="C253" i="3"/>
  <c r="F253" i="3"/>
  <c r="J253" i="3" s="1"/>
  <c r="C254" i="3"/>
  <c r="F254" i="3"/>
  <c r="J254" i="3" s="1"/>
  <c r="C255" i="3"/>
  <c r="F255" i="3"/>
  <c r="J255" i="3" s="1"/>
  <c r="C256" i="3"/>
  <c r="F256" i="3"/>
  <c r="J256" i="3" s="1"/>
  <c r="C257" i="3"/>
  <c r="F257" i="3"/>
  <c r="J257" i="3" s="1"/>
  <c r="C258" i="3"/>
  <c r="F258" i="3"/>
  <c r="J258" i="3" s="1"/>
  <c r="C259" i="3"/>
  <c r="F259" i="3"/>
  <c r="J259" i="3" s="1"/>
  <c r="C260" i="3"/>
  <c r="F260" i="3"/>
  <c r="J260" i="3"/>
  <c r="C261" i="3"/>
  <c r="F261" i="3"/>
  <c r="J261" i="3" s="1"/>
  <c r="C262" i="3"/>
  <c r="F262" i="3"/>
  <c r="J262" i="3" s="1"/>
  <c r="C263" i="3"/>
  <c r="F263" i="3"/>
  <c r="J263" i="3"/>
  <c r="C264" i="3"/>
  <c r="F264" i="3"/>
  <c r="J264" i="3"/>
  <c r="C265" i="3"/>
  <c r="F265" i="3"/>
  <c r="J265" i="3"/>
  <c r="C266" i="3"/>
  <c r="F266" i="3"/>
  <c r="J266" i="3" s="1"/>
  <c r="C267" i="3"/>
  <c r="F267" i="3"/>
  <c r="J267" i="3" s="1"/>
  <c r="C268" i="3"/>
  <c r="F268" i="3"/>
  <c r="J268" i="3"/>
  <c r="C269" i="3"/>
  <c r="F269" i="3"/>
  <c r="J269" i="3"/>
  <c r="C270" i="3"/>
  <c r="F270" i="3"/>
  <c r="J270" i="3" s="1"/>
  <c r="C271" i="3"/>
  <c r="F271" i="3"/>
  <c r="J271" i="3"/>
  <c r="C272" i="3"/>
  <c r="F272" i="3"/>
  <c r="J272" i="3" s="1"/>
  <c r="C273" i="3"/>
  <c r="F273" i="3"/>
  <c r="J273" i="3"/>
  <c r="C274" i="3"/>
  <c r="F274" i="3"/>
  <c r="J274" i="3"/>
  <c r="C275" i="3"/>
  <c r="F275" i="3"/>
  <c r="J275" i="3" s="1"/>
  <c r="C276" i="3"/>
  <c r="F276" i="3"/>
  <c r="J276" i="3"/>
  <c r="C277" i="3"/>
  <c r="F277" i="3"/>
  <c r="J277" i="3" s="1"/>
  <c r="C278" i="3"/>
  <c r="F278" i="3"/>
  <c r="J278" i="3" s="1"/>
  <c r="C279" i="3"/>
  <c r="F279" i="3"/>
  <c r="J279" i="3" s="1"/>
  <c r="C280" i="3"/>
  <c r="F280" i="3"/>
  <c r="J280" i="3" s="1"/>
  <c r="C281" i="3"/>
  <c r="F281" i="3"/>
  <c r="J281" i="3" s="1"/>
  <c r="C282" i="3"/>
  <c r="F282" i="3"/>
  <c r="J282" i="3"/>
  <c r="C283" i="3"/>
  <c r="F283" i="3"/>
  <c r="J283" i="3" s="1"/>
  <c r="C284" i="3"/>
  <c r="F284" i="3"/>
  <c r="J284" i="3"/>
  <c r="C285" i="3"/>
  <c r="F285" i="3"/>
  <c r="J285" i="3" s="1"/>
  <c r="C286" i="3"/>
  <c r="F286" i="3"/>
  <c r="J286" i="3" s="1"/>
  <c r="C287" i="3"/>
  <c r="F287" i="3"/>
  <c r="J287" i="3"/>
  <c r="C288" i="3"/>
  <c r="F288" i="3"/>
  <c r="J288" i="3" s="1"/>
  <c r="C289" i="3"/>
  <c r="F289" i="3"/>
  <c r="J289" i="3" s="1"/>
  <c r="C290" i="3"/>
  <c r="F290" i="3"/>
  <c r="J290" i="3" s="1"/>
  <c r="C291" i="3"/>
  <c r="F291" i="3"/>
  <c r="J291" i="3"/>
  <c r="C292" i="3"/>
  <c r="F292" i="3"/>
  <c r="J292" i="3" s="1"/>
  <c r="C293" i="3"/>
  <c r="F293" i="3"/>
  <c r="J293" i="3" s="1"/>
  <c r="C294" i="3"/>
  <c r="F294" i="3"/>
  <c r="J294" i="3" s="1"/>
  <c r="C295" i="3"/>
  <c r="F295" i="3"/>
  <c r="J295" i="3" s="1"/>
  <c r="C296" i="3"/>
  <c r="F296" i="3"/>
  <c r="J296" i="3"/>
  <c r="C297" i="3"/>
  <c r="F297" i="3"/>
  <c r="J297" i="3"/>
  <c r="C298" i="3"/>
  <c r="F298" i="3"/>
  <c r="J298" i="3" s="1"/>
  <c r="C299" i="3"/>
  <c r="F299" i="3"/>
  <c r="J299" i="3" s="1"/>
  <c r="C300" i="3"/>
  <c r="F300" i="3"/>
  <c r="J300" i="3"/>
  <c r="C301" i="3"/>
  <c r="F301" i="3"/>
  <c r="J301" i="3"/>
  <c r="C302" i="3"/>
  <c r="F302" i="3"/>
  <c r="J302" i="3" s="1"/>
  <c r="C303" i="3"/>
  <c r="F303" i="3"/>
  <c r="J303" i="3" s="1"/>
  <c r="C304" i="3"/>
  <c r="F304" i="3"/>
  <c r="J304" i="3" s="1"/>
  <c r="C305" i="3"/>
  <c r="F305" i="3"/>
  <c r="J305" i="3" s="1"/>
  <c r="C306" i="3"/>
  <c r="F306" i="3"/>
  <c r="J306" i="3"/>
  <c r="C307" i="3"/>
  <c r="F307" i="3"/>
  <c r="J307" i="3" s="1"/>
  <c r="C308" i="3"/>
  <c r="F308" i="3"/>
  <c r="J308" i="3" s="1"/>
  <c r="C309" i="3"/>
  <c r="F309" i="3"/>
  <c r="J309" i="3"/>
  <c r="C310" i="3"/>
  <c r="F310" i="3"/>
  <c r="J310" i="3" s="1"/>
  <c r="C311" i="3"/>
  <c r="F311" i="3"/>
  <c r="J311" i="3"/>
  <c r="C312" i="3"/>
  <c r="F312" i="3"/>
  <c r="J312" i="3" s="1"/>
  <c r="C313" i="3"/>
  <c r="F313" i="3"/>
  <c r="J313" i="3"/>
  <c r="C314" i="3"/>
  <c r="F314" i="3"/>
  <c r="J314" i="3" s="1"/>
  <c r="C315" i="3"/>
  <c r="F315" i="3"/>
  <c r="J315" i="3" s="1"/>
  <c r="C316" i="3"/>
  <c r="F316" i="3"/>
  <c r="J316" i="3" s="1"/>
  <c r="C317" i="3"/>
  <c r="F317" i="3"/>
  <c r="J317" i="3"/>
  <c r="C318" i="3"/>
  <c r="F318" i="3"/>
  <c r="J318" i="3" s="1"/>
  <c r="C319" i="3"/>
  <c r="F319" i="3"/>
  <c r="J319" i="3" s="1"/>
  <c r="C320" i="3"/>
  <c r="F320" i="3"/>
  <c r="J320" i="3"/>
  <c r="C321" i="3"/>
  <c r="F321" i="3"/>
  <c r="J321" i="3" s="1"/>
  <c r="C322" i="3"/>
  <c r="F322" i="3"/>
  <c r="J322" i="3"/>
  <c r="C323" i="3"/>
  <c r="F323" i="3"/>
  <c r="J323" i="3"/>
  <c r="C324" i="3"/>
  <c r="F324" i="3"/>
  <c r="J324" i="3" s="1"/>
  <c r="C325" i="3"/>
  <c r="F325" i="3"/>
  <c r="J325" i="3"/>
  <c r="C326" i="3"/>
  <c r="F326" i="3"/>
  <c r="J326" i="3" s="1"/>
  <c r="C327" i="3"/>
  <c r="F327" i="3"/>
  <c r="J327" i="3" s="1"/>
  <c r="C328" i="3"/>
  <c r="F328" i="3"/>
  <c r="J328" i="3"/>
  <c r="C329" i="3"/>
  <c r="F329" i="3"/>
  <c r="J329" i="3" s="1"/>
  <c r="C330" i="3"/>
  <c r="F330" i="3"/>
  <c r="J330" i="3"/>
  <c r="C331" i="3"/>
  <c r="F331" i="3"/>
  <c r="J331" i="3" s="1"/>
  <c r="C332" i="3"/>
  <c r="F332" i="3"/>
  <c r="J332" i="3" s="1"/>
  <c r="C333" i="3"/>
  <c r="F333" i="3"/>
  <c r="J333" i="3"/>
  <c r="C334" i="3"/>
  <c r="F334" i="3"/>
  <c r="J334" i="3" s="1"/>
  <c r="C335" i="3"/>
  <c r="F335" i="3"/>
  <c r="J335" i="3" s="1"/>
  <c r="C336" i="3"/>
  <c r="F336" i="3"/>
  <c r="J336" i="3"/>
  <c r="C337" i="3"/>
  <c r="F337" i="3"/>
  <c r="J337" i="3" s="1"/>
  <c r="C338" i="3"/>
  <c r="F338" i="3"/>
  <c r="J338" i="3"/>
  <c r="C339" i="3"/>
  <c r="F339" i="3"/>
  <c r="J339" i="3" s="1"/>
  <c r="C340" i="3"/>
  <c r="F340" i="3"/>
  <c r="J340" i="3"/>
  <c r="C341" i="3"/>
  <c r="F341" i="3"/>
  <c r="J341" i="3" s="1"/>
  <c r="C342" i="3"/>
  <c r="F342" i="3"/>
  <c r="J342" i="3" s="1"/>
  <c r="C343" i="3"/>
  <c r="F343" i="3"/>
  <c r="J343" i="3" s="1"/>
  <c r="C344" i="3"/>
  <c r="F344" i="3"/>
  <c r="J344" i="3"/>
  <c r="C345" i="3"/>
  <c r="F345" i="3"/>
  <c r="J345" i="3"/>
  <c r="C346" i="3"/>
  <c r="F346" i="3"/>
  <c r="J346" i="3" s="1"/>
  <c r="C347" i="3"/>
  <c r="F347" i="3"/>
  <c r="J347" i="3"/>
  <c r="C348" i="3"/>
  <c r="F348" i="3"/>
  <c r="J348" i="3"/>
  <c r="C349" i="3"/>
  <c r="F349" i="3"/>
  <c r="J349" i="3"/>
  <c r="C350" i="3"/>
  <c r="F350" i="3"/>
  <c r="J350" i="3" s="1"/>
  <c r="C351" i="3"/>
  <c r="F351" i="3"/>
  <c r="J351" i="3" s="1"/>
  <c r="C352" i="3"/>
  <c r="F352" i="3"/>
  <c r="J352" i="3"/>
  <c r="C353" i="3"/>
  <c r="F353" i="3"/>
  <c r="J353" i="3" s="1"/>
  <c r="C354" i="3"/>
  <c r="F354" i="3"/>
  <c r="J354" i="3" s="1"/>
  <c r="C355" i="3"/>
  <c r="F355" i="3"/>
  <c r="J355" i="3"/>
  <c r="C356" i="3"/>
  <c r="F356" i="3"/>
  <c r="J356" i="3"/>
  <c r="C357" i="3"/>
  <c r="F357" i="3"/>
  <c r="J357" i="3" s="1"/>
  <c r="C358" i="3"/>
  <c r="F358" i="3"/>
  <c r="J358" i="3" s="1"/>
  <c r="C359" i="3"/>
  <c r="F359" i="3"/>
  <c r="J359" i="3" s="1"/>
  <c r="C360" i="3"/>
  <c r="F360" i="3"/>
  <c r="J360" i="3"/>
  <c r="C361" i="3"/>
  <c r="F361" i="3"/>
  <c r="J361" i="3" s="1"/>
  <c r="C362" i="3"/>
  <c r="F362" i="3"/>
  <c r="J362" i="3"/>
  <c r="C363" i="3"/>
  <c r="F363" i="3"/>
  <c r="J363" i="3"/>
  <c r="C364" i="3"/>
  <c r="F364" i="3"/>
  <c r="J364" i="3" s="1"/>
  <c r="C365" i="3"/>
  <c r="F365" i="3"/>
  <c r="J365" i="3" s="1"/>
  <c r="C366" i="3"/>
  <c r="F366" i="3"/>
  <c r="J366" i="3" s="1"/>
  <c r="C367" i="3"/>
  <c r="F367" i="3"/>
  <c r="J367" i="3"/>
  <c r="C368" i="3"/>
  <c r="F368" i="3"/>
  <c r="J368" i="3" s="1"/>
  <c r="C369" i="3"/>
  <c r="F369" i="3"/>
  <c r="J369" i="3" s="1"/>
  <c r="C370" i="3"/>
  <c r="F370" i="3"/>
  <c r="J370" i="3" s="1"/>
  <c r="C371" i="3"/>
  <c r="F371" i="3"/>
  <c r="J371" i="3" s="1"/>
  <c r="C372" i="3"/>
  <c r="F372" i="3"/>
  <c r="J372" i="3"/>
  <c r="C373" i="3"/>
  <c r="F373" i="3"/>
  <c r="J373" i="3"/>
  <c r="C374" i="3"/>
  <c r="F374" i="3"/>
  <c r="J374" i="3" s="1"/>
  <c r="C375" i="3"/>
  <c r="F375" i="3"/>
  <c r="J375" i="3"/>
  <c r="C376" i="3"/>
  <c r="F376" i="3"/>
  <c r="J376" i="3" s="1"/>
  <c r="C377" i="3"/>
  <c r="F377" i="3"/>
  <c r="J377" i="3" s="1"/>
  <c r="C378" i="3"/>
  <c r="F378" i="3"/>
  <c r="J378" i="3"/>
  <c r="C379" i="3"/>
  <c r="F379" i="3"/>
  <c r="J379" i="3"/>
  <c r="C380" i="3"/>
  <c r="F380" i="3"/>
  <c r="J380" i="3" s="1"/>
  <c r="C381" i="3"/>
  <c r="F381" i="3"/>
  <c r="J381" i="3" s="1"/>
  <c r="C382" i="3"/>
  <c r="F382" i="3"/>
  <c r="J382" i="3"/>
  <c r="C383" i="3"/>
  <c r="F383" i="3"/>
  <c r="J383" i="3"/>
  <c r="C384" i="3"/>
  <c r="F384" i="3"/>
  <c r="J384" i="3"/>
  <c r="C385" i="3"/>
  <c r="F385" i="3"/>
  <c r="J385" i="3" s="1"/>
  <c r="C386" i="3"/>
  <c r="F386" i="3"/>
  <c r="J386" i="3" s="1"/>
  <c r="C387" i="3"/>
  <c r="F387" i="3"/>
  <c r="J387" i="3"/>
  <c r="F95" i="3"/>
  <c r="J95" i="3" s="1"/>
  <c r="C95" i="3"/>
  <c r="F94" i="3"/>
  <c r="J94" i="3" s="1"/>
  <c r="C94" i="3"/>
  <c r="C90" i="3"/>
  <c r="F90" i="3"/>
  <c r="J90" i="3"/>
  <c r="C91" i="3"/>
  <c r="F91" i="3"/>
  <c r="J91" i="3" s="1"/>
  <c r="C92" i="3"/>
  <c r="F92" i="3"/>
  <c r="J92" i="3"/>
  <c r="C93" i="3"/>
  <c r="F93" i="3"/>
  <c r="J93" i="3" s="1"/>
  <c r="F89" i="3"/>
  <c r="J89" i="3" s="1"/>
  <c r="C89" i="3"/>
  <c r="C88" i="3"/>
  <c r="C30" i="3"/>
  <c r="C31" i="3"/>
  <c r="F31" i="3" s="1"/>
  <c r="J31" i="3" s="1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29" i="3"/>
  <c r="C28" i="3"/>
  <c r="G28" i="3" s="1"/>
  <c r="B16" i="3"/>
  <c r="B3" i="3"/>
  <c r="B5" i="3" s="1"/>
  <c r="L21" i="1"/>
  <c r="K21" i="1"/>
  <c r="B16" i="1"/>
  <c r="B5" i="1"/>
  <c r="B3" i="1"/>
  <c r="H28" i="3" l="1"/>
  <c r="I28" i="3" s="1"/>
  <c r="F28" i="3"/>
  <c r="J28" i="3" s="1"/>
  <c r="G29" i="3"/>
  <c r="H29" i="3"/>
  <c r="I29" i="3" s="1"/>
  <c r="F29" i="3"/>
  <c r="J29" i="3" s="1"/>
  <c r="G30" i="3" l="1"/>
  <c r="H30" i="3" s="1"/>
  <c r="I30" i="3" s="1"/>
  <c r="G31" i="3" s="1"/>
  <c r="H31" i="3" s="1"/>
  <c r="I31" i="3" s="1"/>
  <c r="F30" i="3"/>
  <c r="J30" i="3" s="1"/>
  <c r="F33" i="3" l="1"/>
  <c r="J33" i="3" s="1"/>
  <c r="G32" i="3"/>
  <c r="F32" i="3"/>
  <c r="J32" i="3" s="1"/>
  <c r="H32" i="3" l="1"/>
  <c r="I32" i="3" s="1"/>
  <c r="G33" i="3" l="1"/>
  <c r="H33" i="3" s="1"/>
  <c r="I33" i="3" s="1"/>
  <c r="G34" i="3" l="1"/>
  <c r="H34" i="3" s="1"/>
  <c r="I34" i="3" s="1"/>
  <c r="G35" i="3" s="1"/>
  <c r="F34" i="3"/>
  <c r="J34" i="3" s="1"/>
  <c r="F35" i="3"/>
  <c r="J35" i="3" s="1"/>
  <c r="H35" i="3" l="1"/>
  <c r="I35" i="3" s="1"/>
  <c r="G36" i="3" s="1"/>
  <c r="F36" i="3"/>
  <c r="J36" i="3" s="1"/>
  <c r="F37" i="3"/>
  <c r="J37" i="3" s="1"/>
  <c r="H36" i="3" l="1"/>
  <c r="I36" i="3" s="1"/>
  <c r="G37" i="3" s="1"/>
  <c r="H37" i="3" s="1"/>
  <c r="I37" i="3" s="1"/>
  <c r="G38" i="3" l="1"/>
  <c r="F39" i="3"/>
  <c r="J39" i="3" s="1"/>
  <c r="F38" i="3"/>
  <c r="J38" i="3" s="1"/>
  <c r="H38" i="3" l="1"/>
  <c r="I38" i="3" s="1"/>
  <c r="G39" i="3" s="1"/>
  <c r="H39" i="3" s="1"/>
  <c r="I39" i="3" s="1"/>
  <c r="G40" i="3" l="1"/>
  <c r="F40" i="3"/>
  <c r="J40" i="3" s="1"/>
  <c r="F41" i="3"/>
  <c r="J41" i="3" s="1"/>
  <c r="H40" i="3" l="1"/>
  <c r="I40" i="3" s="1"/>
  <c r="G41" i="3" s="1"/>
  <c r="H41" i="3" s="1"/>
  <c r="I41" i="3" s="1"/>
  <c r="G42" i="3" l="1"/>
  <c r="F42" i="3"/>
  <c r="J42" i="3" s="1"/>
  <c r="H42" i="3" l="1"/>
  <c r="I42" i="3" s="1"/>
  <c r="G43" i="3" l="1"/>
  <c r="F43" i="3"/>
  <c r="J43" i="3" s="1"/>
  <c r="H43" i="3" l="1"/>
  <c r="I43" i="3" s="1"/>
  <c r="G44" i="3" l="1"/>
  <c r="F45" i="3"/>
  <c r="J45" i="3" s="1"/>
  <c r="F44" i="3" l="1"/>
  <c r="J44" i="3" s="1"/>
  <c r="H44" i="3"/>
  <c r="I44" i="3" s="1"/>
  <c r="G45" i="3" s="1"/>
  <c r="H45" i="3" s="1"/>
  <c r="I45" i="3" s="1"/>
  <c r="F47" i="3" l="1"/>
  <c r="J47" i="3" s="1"/>
  <c r="G46" i="3"/>
  <c r="F46" i="3" l="1"/>
  <c r="J46" i="3" s="1"/>
  <c r="H46" i="3"/>
  <c r="I46" i="3" s="1"/>
  <c r="G47" i="3" s="1"/>
  <c r="H47" i="3" s="1"/>
  <c r="I47" i="3" s="1"/>
  <c r="F49" i="3" l="1"/>
  <c r="J49" i="3" s="1"/>
  <c r="G48" i="3"/>
  <c r="F48" i="3" l="1"/>
  <c r="J48" i="3" s="1"/>
  <c r="H48" i="3"/>
  <c r="I48" i="3" s="1"/>
  <c r="G49" i="3" s="1"/>
  <c r="H49" i="3" s="1"/>
  <c r="I49" i="3" s="1"/>
  <c r="F51" i="3" l="1"/>
  <c r="J51" i="3" s="1"/>
  <c r="G50" i="3"/>
  <c r="F50" i="3" l="1"/>
  <c r="J50" i="3" s="1"/>
  <c r="H50" i="3"/>
  <c r="I50" i="3" s="1"/>
  <c r="G51" i="3" s="1"/>
  <c r="H51" i="3" s="1"/>
  <c r="I51" i="3" s="1"/>
  <c r="G52" i="3" l="1"/>
  <c r="F52" i="3" l="1"/>
  <c r="J52" i="3" s="1"/>
  <c r="H52" i="3"/>
  <c r="I52" i="3" s="1"/>
  <c r="G53" i="3" l="1"/>
  <c r="F53" i="3" l="1"/>
  <c r="J53" i="3" s="1"/>
  <c r="H53" i="3"/>
  <c r="I53" i="3" s="1"/>
  <c r="G54" i="3" l="1"/>
  <c r="F55" i="3"/>
  <c r="J55" i="3" s="1"/>
  <c r="F54" i="3"/>
  <c r="J54" i="3" s="1"/>
  <c r="H54" i="3" l="1"/>
  <c r="I54" i="3" s="1"/>
  <c r="G55" i="3" s="1"/>
  <c r="H55" i="3" s="1"/>
  <c r="I55" i="3" s="1"/>
  <c r="F57" i="3" l="1"/>
  <c r="J57" i="3" s="1"/>
  <c r="G56" i="3"/>
  <c r="F56" i="3" l="1"/>
  <c r="J56" i="3" s="1"/>
  <c r="H56" i="3"/>
  <c r="I56" i="3" s="1"/>
  <c r="G57" i="3" s="1"/>
  <c r="H57" i="3" s="1"/>
  <c r="I57" i="3" s="1"/>
  <c r="F59" i="3" l="1"/>
  <c r="J59" i="3" s="1"/>
  <c r="G58" i="3"/>
  <c r="F58" i="3" l="1"/>
  <c r="J58" i="3" s="1"/>
  <c r="H58" i="3"/>
  <c r="I58" i="3" s="1"/>
  <c r="G59" i="3" s="1"/>
  <c r="H59" i="3" s="1"/>
  <c r="I59" i="3" s="1"/>
  <c r="F61" i="3" l="1"/>
  <c r="J61" i="3" s="1"/>
  <c r="G60" i="3"/>
  <c r="F60" i="3" l="1"/>
  <c r="J60" i="3" s="1"/>
  <c r="H60" i="3"/>
  <c r="I60" i="3" s="1"/>
  <c r="G61" i="3" s="1"/>
  <c r="H61" i="3" s="1"/>
  <c r="I61" i="3" s="1"/>
  <c r="G62" i="3" l="1"/>
  <c r="F62" i="3" l="1"/>
  <c r="J62" i="3" s="1"/>
  <c r="H62" i="3"/>
  <c r="I62" i="3" s="1"/>
  <c r="G63" i="3" s="1"/>
  <c r="H63" i="3" s="1"/>
  <c r="I63" i="3" s="1"/>
  <c r="F63" i="3"/>
  <c r="J63" i="3" s="1"/>
  <c r="G64" i="3" l="1"/>
  <c r="F64" i="3"/>
  <c r="J64" i="3" s="1"/>
  <c r="F65" i="3"/>
  <c r="J65" i="3" s="1"/>
  <c r="H64" i="3" l="1"/>
  <c r="I64" i="3" s="1"/>
  <c r="G65" i="3" s="1"/>
  <c r="H65" i="3" s="1"/>
  <c r="I65" i="3" s="1"/>
  <c r="F67" i="3" l="1"/>
  <c r="J67" i="3" s="1"/>
  <c r="G66" i="3"/>
  <c r="F66" i="3" l="1"/>
  <c r="J66" i="3" s="1"/>
  <c r="H66" i="3"/>
  <c r="I66" i="3" s="1"/>
  <c r="G67" i="3" s="1"/>
  <c r="H67" i="3" s="1"/>
  <c r="I67" i="3" s="1"/>
  <c r="F69" i="3" l="1"/>
  <c r="J69" i="3" s="1"/>
  <c r="G68" i="3"/>
  <c r="F68" i="3" l="1"/>
  <c r="J68" i="3" s="1"/>
  <c r="H68" i="3"/>
  <c r="I68" i="3" s="1"/>
  <c r="G69" i="3" s="1"/>
  <c r="H69" i="3" s="1"/>
  <c r="I69" i="3" s="1"/>
  <c r="G70" i="3" s="1"/>
  <c r="F70" i="3" l="1"/>
  <c r="J70" i="3" s="1"/>
  <c r="F71" i="3"/>
  <c r="J71" i="3" s="1"/>
  <c r="H70" i="3" l="1"/>
  <c r="I70" i="3" s="1"/>
  <c r="G71" i="3" s="1"/>
  <c r="H71" i="3" s="1"/>
  <c r="I71" i="3" s="1"/>
  <c r="G72" i="3"/>
  <c r="F72" i="3" l="1"/>
  <c r="J72" i="3" s="1"/>
  <c r="H72" i="3"/>
  <c r="I72" i="3" s="1"/>
  <c r="G73" i="3" l="1"/>
  <c r="F73" i="3"/>
  <c r="J73" i="3" s="1"/>
  <c r="H73" i="3" l="1"/>
  <c r="I73" i="3" s="1"/>
  <c r="G74" i="3" l="1"/>
  <c r="F74" i="3"/>
  <c r="J74" i="3" s="1"/>
  <c r="F75" i="3"/>
  <c r="J75" i="3" s="1"/>
  <c r="H74" i="3" l="1"/>
  <c r="I74" i="3" s="1"/>
  <c r="G75" i="3" s="1"/>
  <c r="H75" i="3" s="1"/>
  <c r="I75" i="3" s="1"/>
  <c r="F77" i="3" l="1"/>
  <c r="J77" i="3" s="1"/>
  <c r="G76" i="3"/>
  <c r="F76" i="3" l="1"/>
  <c r="J76" i="3" s="1"/>
  <c r="H76" i="3"/>
  <c r="I76" i="3" s="1"/>
  <c r="G77" i="3" s="1"/>
  <c r="H77" i="3" s="1"/>
  <c r="I77" i="3" s="1"/>
  <c r="F79" i="3" l="1"/>
  <c r="J79" i="3" s="1"/>
  <c r="G78" i="3"/>
  <c r="F78" i="3" l="1"/>
  <c r="J78" i="3" s="1"/>
  <c r="H78" i="3"/>
  <c r="I78" i="3" s="1"/>
  <c r="G79" i="3" s="1"/>
  <c r="H79" i="3" s="1"/>
  <c r="I79" i="3" s="1"/>
  <c r="F81" i="3" l="1"/>
  <c r="J81" i="3" s="1"/>
  <c r="G80" i="3"/>
  <c r="F80" i="3" l="1"/>
  <c r="J80" i="3" s="1"/>
  <c r="H80" i="3"/>
  <c r="I80" i="3" s="1"/>
  <c r="G81" i="3" s="1"/>
  <c r="H81" i="3" s="1"/>
  <c r="I81" i="3" s="1"/>
  <c r="G82" i="3" l="1"/>
  <c r="F83" i="3"/>
  <c r="J83" i="3" s="1"/>
  <c r="F88" i="3"/>
  <c r="J88" i="3" s="1"/>
  <c r="F82" i="3" l="1"/>
  <c r="J82" i="3" s="1"/>
  <c r="H82" i="3"/>
  <c r="I82" i="3" s="1"/>
  <c r="G83" i="3" s="1"/>
  <c r="H83" i="3" s="1"/>
  <c r="I83" i="3" s="1"/>
  <c r="G84" i="3" l="1"/>
  <c r="F85" i="3"/>
  <c r="J85" i="3" s="1"/>
  <c r="F84" i="3" l="1"/>
  <c r="J84" i="3" s="1"/>
  <c r="H84" i="3"/>
  <c r="I84" i="3" s="1"/>
  <c r="G85" i="3" s="1"/>
  <c r="H85" i="3" s="1"/>
  <c r="I85" i="3" s="1"/>
  <c r="F87" i="3" l="1"/>
  <c r="J87" i="3" s="1"/>
  <c r="G86" i="3"/>
  <c r="F86" i="3" l="1"/>
  <c r="J86" i="3" s="1"/>
  <c r="H86" i="3"/>
  <c r="I86" i="3" s="1"/>
  <c r="G87" i="3" s="1"/>
  <c r="H87" i="3" s="1"/>
  <c r="I87" i="3" s="1"/>
  <c r="G88" i="3" s="1"/>
  <c r="H88" i="3" s="1"/>
  <c r="I88" i="3" s="1"/>
  <c r="G89" i="3" l="1"/>
  <c r="H89" i="3" s="1"/>
  <c r="I89" i="3" s="1"/>
  <c r="G90" i="3" s="1"/>
  <c r="H90" i="3" s="1"/>
  <c r="I90" i="3" s="1"/>
  <c r="G91" i="3" s="1"/>
  <c r="H91" i="3" s="1"/>
  <c r="I91" i="3" s="1"/>
  <c r="G92" i="3" s="1"/>
  <c r="H92" i="3" s="1"/>
  <c r="I92" i="3" s="1"/>
  <c r="G93" i="3" s="1"/>
  <c r="H93" i="3" s="1"/>
  <c r="I93" i="3" s="1"/>
  <c r="G94" i="3" s="1"/>
  <c r="H94" i="3" s="1"/>
  <c r="I94" i="3" s="1"/>
  <c r="N33" i="3"/>
  <c r="G95" i="3" l="1"/>
  <c r="H95" i="3" s="1"/>
  <c r="I95" i="3" s="1"/>
  <c r="G96" i="3" l="1"/>
  <c r="H96" i="3" s="1"/>
  <c r="I96" i="3" s="1"/>
  <c r="G97" i="3" l="1"/>
  <c r="H97" i="3" s="1"/>
  <c r="I97" i="3" s="1"/>
  <c r="G98" i="3" l="1"/>
  <c r="H98" i="3" s="1"/>
  <c r="I98" i="3" s="1"/>
  <c r="G99" i="3" l="1"/>
  <c r="H99" i="3" s="1"/>
  <c r="I99" i="3" s="1"/>
  <c r="G100" i="3" l="1"/>
  <c r="H100" i="3" s="1"/>
  <c r="I100" i="3" s="1"/>
  <c r="G101" i="3" l="1"/>
  <c r="H101" i="3" s="1"/>
  <c r="I101" i="3" s="1"/>
  <c r="G102" i="3" l="1"/>
  <c r="H102" i="3" s="1"/>
  <c r="I102" i="3" s="1"/>
  <c r="G103" i="3" l="1"/>
  <c r="H103" i="3" s="1"/>
  <c r="I103" i="3" s="1"/>
  <c r="G104" i="3" l="1"/>
  <c r="H104" i="3" s="1"/>
  <c r="I104" i="3" s="1"/>
  <c r="G105" i="3" l="1"/>
  <c r="H105" i="3" s="1"/>
  <c r="I105" i="3" s="1"/>
  <c r="G106" i="3" l="1"/>
  <c r="H106" i="3" s="1"/>
  <c r="I106" i="3" s="1"/>
  <c r="G107" i="3" l="1"/>
  <c r="H107" i="3" s="1"/>
  <c r="I107" i="3" s="1"/>
  <c r="G108" i="3" l="1"/>
  <c r="H108" i="3" s="1"/>
  <c r="I108" i="3" s="1"/>
  <c r="G109" i="3" l="1"/>
  <c r="H109" i="3" s="1"/>
  <c r="I109" i="3" s="1"/>
  <c r="G110" i="3" l="1"/>
  <c r="H110" i="3" s="1"/>
  <c r="I110" i="3" s="1"/>
  <c r="G111" i="3" l="1"/>
  <c r="H111" i="3" s="1"/>
  <c r="I111" i="3" s="1"/>
  <c r="G112" i="3" l="1"/>
  <c r="H112" i="3" s="1"/>
  <c r="I112" i="3" s="1"/>
  <c r="G113" i="3" l="1"/>
  <c r="H113" i="3" s="1"/>
  <c r="I113" i="3" s="1"/>
  <c r="G114" i="3" l="1"/>
  <c r="H114" i="3" s="1"/>
  <c r="I114" i="3" s="1"/>
  <c r="G115" i="3" l="1"/>
  <c r="H115" i="3" s="1"/>
  <c r="I115" i="3" s="1"/>
  <c r="G116" i="3" l="1"/>
  <c r="H116" i="3" s="1"/>
  <c r="I116" i="3" s="1"/>
  <c r="G117" i="3" l="1"/>
  <c r="H117" i="3" s="1"/>
  <c r="I117" i="3" s="1"/>
  <c r="G118" i="3" l="1"/>
  <c r="H118" i="3" s="1"/>
  <c r="I118" i="3" s="1"/>
  <c r="G119" i="3" l="1"/>
  <c r="H119" i="3" s="1"/>
  <c r="I119" i="3" s="1"/>
  <c r="G120" i="3" l="1"/>
  <c r="H120" i="3" s="1"/>
  <c r="I120" i="3" s="1"/>
  <c r="G121" i="3" l="1"/>
  <c r="H121" i="3" s="1"/>
  <c r="I121" i="3" s="1"/>
  <c r="G122" i="3" l="1"/>
  <c r="H122" i="3" s="1"/>
  <c r="I122" i="3"/>
  <c r="G123" i="3" l="1"/>
  <c r="H123" i="3" s="1"/>
  <c r="I123" i="3" s="1"/>
  <c r="G124" i="3" l="1"/>
  <c r="H124" i="3" s="1"/>
  <c r="I124" i="3" s="1"/>
  <c r="G125" i="3" l="1"/>
  <c r="H125" i="3" s="1"/>
  <c r="I125" i="3" s="1"/>
  <c r="G126" i="3" l="1"/>
  <c r="H126" i="3" s="1"/>
  <c r="I126" i="3" s="1"/>
  <c r="G127" i="3" l="1"/>
  <c r="H127" i="3" s="1"/>
  <c r="I127" i="3" s="1"/>
  <c r="G128" i="3" l="1"/>
  <c r="H128" i="3" s="1"/>
  <c r="I128" i="3" s="1"/>
  <c r="G129" i="3" l="1"/>
  <c r="H129" i="3" s="1"/>
  <c r="I129" i="3" s="1"/>
  <c r="G130" i="3" l="1"/>
  <c r="H130" i="3" s="1"/>
  <c r="I130" i="3" s="1"/>
  <c r="G131" i="3" l="1"/>
  <c r="H131" i="3" s="1"/>
  <c r="I131" i="3" s="1"/>
  <c r="G132" i="3" l="1"/>
  <c r="H132" i="3" s="1"/>
  <c r="I132" i="3" s="1"/>
  <c r="G133" i="3" l="1"/>
  <c r="H133" i="3" s="1"/>
  <c r="I133" i="3" s="1"/>
  <c r="G134" i="3" l="1"/>
  <c r="H134" i="3" s="1"/>
  <c r="I134" i="3" s="1"/>
  <c r="G135" i="3" l="1"/>
  <c r="H135" i="3" s="1"/>
  <c r="I135" i="3" s="1"/>
  <c r="G136" i="3" l="1"/>
  <c r="H136" i="3" s="1"/>
  <c r="I136" i="3" s="1"/>
  <c r="G137" i="3" l="1"/>
  <c r="H137" i="3" s="1"/>
  <c r="I137" i="3" s="1"/>
  <c r="G138" i="3" l="1"/>
  <c r="H138" i="3" s="1"/>
  <c r="I138" i="3" s="1"/>
  <c r="G139" i="3" l="1"/>
  <c r="H139" i="3" s="1"/>
  <c r="I139" i="3" s="1"/>
  <c r="G140" i="3" l="1"/>
  <c r="H140" i="3" s="1"/>
  <c r="I140" i="3" s="1"/>
  <c r="G141" i="3" l="1"/>
  <c r="H141" i="3" s="1"/>
  <c r="I141" i="3" s="1"/>
  <c r="G142" i="3" l="1"/>
  <c r="H142" i="3" s="1"/>
  <c r="I142" i="3" s="1"/>
  <c r="G143" i="3" l="1"/>
  <c r="H143" i="3" s="1"/>
  <c r="I143" i="3" s="1"/>
  <c r="G144" i="3" l="1"/>
  <c r="H144" i="3" s="1"/>
  <c r="I144" i="3" s="1"/>
  <c r="G145" i="3" l="1"/>
  <c r="H145" i="3" s="1"/>
  <c r="I145" i="3" s="1"/>
  <c r="G146" i="3" l="1"/>
  <c r="H146" i="3" s="1"/>
  <c r="I146" i="3" s="1"/>
  <c r="G147" i="3" l="1"/>
  <c r="H147" i="3" s="1"/>
  <c r="I147" i="3" s="1"/>
  <c r="G148" i="3" l="1"/>
  <c r="H148" i="3" s="1"/>
  <c r="I148" i="3" s="1"/>
  <c r="G149" i="3" l="1"/>
  <c r="H149" i="3" s="1"/>
  <c r="I149" i="3" s="1"/>
  <c r="G150" i="3" l="1"/>
  <c r="H150" i="3" s="1"/>
  <c r="I150" i="3" s="1"/>
  <c r="G151" i="3" l="1"/>
  <c r="H151" i="3" s="1"/>
  <c r="I151" i="3" s="1"/>
  <c r="G152" i="3" l="1"/>
  <c r="H152" i="3" s="1"/>
  <c r="I152" i="3" s="1"/>
  <c r="G153" i="3" l="1"/>
  <c r="H153" i="3" s="1"/>
  <c r="I153" i="3" s="1"/>
  <c r="G154" i="3" l="1"/>
  <c r="H154" i="3" s="1"/>
  <c r="I154" i="3" s="1"/>
  <c r="G155" i="3" l="1"/>
  <c r="H155" i="3" s="1"/>
  <c r="I155" i="3" s="1"/>
  <c r="G156" i="3" l="1"/>
  <c r="H156" i="3" s="1"/>
  <c r="I156" i="3" s="1"/>
  <c r="G157" i="3" l="1"/>
  <c r="H157" i="3" s="1"/>
  <c r="I157" i="3" s="1"/>
  <c r="G158" i="3" l="1"/>
  <c r="H158" i="3" s="1"/>
  <c r="I158" i="3" s="1"/>
  <c r="G159" i="3" l="1"/>
  <c r="H159" i="3" s="1"/>
  <c r="I159" i="3" s="1"/>
  <c r="G160" i="3" l="1"/>
  <c r="H160" i="3" s="1"/>
  <c r="I160" i="3" s="1"/>
  <c r="G161" i="3" l="1"/>
  <c r="H161" i="3" s="1"/>
  <c r="I161" i="3" s="1"/>
  <c r="G162" i="3" l="1"/>
  <c r="H162" i="3" s="1"/>
  <c r="I162" i="3" s="1"/>
  <c r="G163" i="3" l="1"/>
  <c r="H163" i="3" s="1"/>
  <c r="I163" i="3" s="1"/>
  <c r="G164" i="3" l="1"/>
  <c r="H164" i="3" s="1"/>
  <c r="I164" i="3" s="1"/>
  <c r="G165" i="3" l="1"/>
  <c r="H165" i="3" s="1"/>
  <c r="I165" i="3" s="1"/>
  <c r="G166" i="3" l="1"/>
  <c r="H166" i="3" s="1"/>
  <c r="I166" i="3" s="1"/>
  <c r="G167" i="3" l="1"/>
  <c r="H167" i="3" s="1"/>
  <c r="I167" i="3" s="1"/>
  <c r="G168" i="3" l="1"/>
  <c r="H168" i="3" s="1"/>
  <c r="I168" i="3" s="1"/>
  <c r="G169" i="3" l="1"/>
  <c r="H169" i="3" s="1"/>
  <c r="I169" i="3" s="1"/>
  <c r="G170" i="3" l="1"/>
  <c r="H170" i="3" s="1"/>
  <c r="I170" i="3" s="1"/>
  <c r="G171" i="3" l="1"/>
  <c r="H171" i="3" s="1"/>
  <c r="I171" i="3" s="1"/>
  <c r="G172" i="3" l="1"/>
  <c r="H172" i="3" s="1"/>
  <c r="I172" i="3" s="1"/>
  <c r="G173" i="3" l="1"/>
  <c r="H173" i="3" s="1"/>
  <c r="I173" i="3" s="1"/>
  <c r="G174" i="3" l="1"/>
  <c r="H174" i="3" s="1"/>
  <c r="I174" i="3" s="1"/>
  <c r="G175" i="3" l="1"/>
  <c r="H175" i="3" s="1"/>
  <c r="I175" i="3" s="1"/>
  <c r="G176" i="3" l="1"/>
  <c r="H176" i="3" s="1"/>
  <c r="I176" i="3" s="1"/>
  <c r="G177" i="3" l="1"/>
  <c r="H177" i="3" s="1"/>
  <c r="I177" i="3" s="1"/>
  <c r="G178" i="3" l="1"/>
  <c r="H178" i="3" s="1"/>
  <c r="I178" i="3" s="1"/>
  <c r="G179" i="3" l="1"/>
  <c r="H179" i="3" s="1"/>
  <c r="I179" i="3" s="1"/>
  <c r="G180" i="3" l="1"/>
  <c r="H180" i="3" s="1"/>
  <c r="I180" i="3" s="1"/>
  <c r="G181" i="3" l="1"/>
  <c r="H181" i="3" s="1"/>
  <c r="I181" i="3" s="1"/>
  <c r="G182" i="3" l="1"/>
  <c r="H182" i="3" s="1"/>
  <c r="I182" i="3" s="1"/>
  <c r="G183" i="3" l="1"/>
  <c r="H183" i="3" s="1"/>
  <c r="I183" i="3" s="1"/>
  <c r="G184" i="3" l="1"/>
  <c r="H184" i="3" s="1"/>
  <c r="I184" i="3" s="1"/>
  <c r="G185" i="3" l="1"/>
  <c r="H185" i="3" s="1"/>
  <c r="I185" i="3" s="1"/>
  <c r="G186" i="3" l="1"/>
  <c r="H186" i="3" s="1"/>
  <c r="I186" i="3" s="1"/>
  <c r="G187" i="3" l="1"/>
  <c r="H187" i="3" s="1"/>
  <c r="I187" i="3" s="1"/>
  <c r="G188" i="3" l="1"/>
  <c r="H188" i="3" s="1"/>
  <c r="I188" i="3" s="1"/>
  <c r="G189" i="3" l="1"/>
  <c r="H189" i="3" s="1"/>
  <c r="I189" i="3" s="1"/>
  <c r="G190" i="3" l="1"/>
  <c r="H190" i="3" s="1"/>
  <c r="I190" i="3" s="1"/>
  <c r="G191" i="3" l="1"/>
  <c r="H191" i="3" s="1"/>
  <c r="I191" i="3" s="1"/>
  <c r="G192" i="3" l="1"/>
  <c r="H192" i="3" s="1"/>
  <c r="I192" i="3" s="1"/>
  <c r="G193" i="3" l="1"/>
  <c r="H193" i="3" s="1"/>
  <c r="I193" i="3" s="1"/>
  <c r="G194" i="3" l="1"/>
  <c r="H194" i="3" s="1"/>
  <c r="I194" i="3" s="1"/>
  <c r="G195" i="3" l="1"/>
  <c r="H195" i="3" s="1"/>
  <c r="I195" i="3" s="1"/>
  <c r="G196" i="3" l="1"/>
  <c r="H196" i="3" s="1"/>
  <c r="I196" i="3" s="1"/>
  <c r="G197" i="3" l="1"/>
  <c r="H197" i="3" s="1"/>
  <c r="I197" i="3" s="1"/>
  <c r="G198" i="3" l="1"/>
  <c r="H198" i="3" s="1"/>
  <c r="I198" i="3" s="1"/>
  <c r="G199" i="3" l="1"/>
  <c r="H199" i="3" s="1"/>
  <c r="I199" i="3" s="1"/>
  <c r="G200" i="3" l="1"/>
  <c r="H200" i="3" s="1"/>
  <c r="I200" i="3" s="1"/>
  <c r="G201" i="3" l="1"/>
  <c r="H201" i="3" s="1"/>
  <c r="I201" i="3" s="1"/>
  <c r="G202" i="3" l="1"/>
  <c r="H202" i="3" s="1"/>
  <c r="I202" i="3" s="1"/>
  <c r="G203" i="3" l="1"/>
  <c r="H203" i="3" s="1"/>
  <c r="I203" i="3" s="1"/>
  <c r="G204" i="3" l="1"/>
  <c r="H204" i="3" s="1"/>
  <c r="I204" i="3" s="1"/>
  <c r="G205" i="3" l="1"/>
  <c r="H205" i="3" s="1"/>
  <c r="I205" i="3" s="1"/>
  <c r="G206" i="3" l="1"/>
  <c r="H206" i="3" s="1"/>
  <c r="I206" i="3" s="1"/>
  <c r="G207" i="3" l="1"/>
  <c r="H207" i="3" s="1"/>
  <c r="I207" i="3" s="1"/>
  <c r="G208" i="3" l="1"/>
  <c r="H208" i="3" s="1"/>
  <c r="I208" i="3" s="1"/>
  <c r="G209" i="3" l="1"/>
  <c r="H209" i="3" s="1"/>
  <c r="I209" i="3" s="1"/>
  <c r="G210" i="3" l="1"/>
  <c r="H210" i="3" s="1"/>
  <c r="I210" i="3" s="1"/>
  <c r="G211" i="3" l="1"/>
  <c r="H211" i="3" s="1"/>
  <c r="I211" i="3" s="1"/>
  <c r="G212" i="3" l="1"/>
  <c r="H212" i="3" s="1"/>
  <c r="I212" i="3" s="1"/>
  <c r="G213" i="3" l="1"/>
  <c r="H213" i="3" s="1"/>
  <c r="I213" i="3" s="1"/>
  <c r="G214" i="3" l="1"/>
  <c r="H214" i="3" s="1"/>
  <c r="I214" i="3" s="1"/>
  <c r="G215" i="3" l="1"/>
  <c r="H215" i="3" s="1"/>
  <c r="I215" i="3" s="1"/>
  <c r="G216" i="3" l="1"/>
  <c r="H216" i="3" s="1"/>
  <c r="I216" i="3" s="1"/>
  <c r="G217" i="3" l="1"/>
  <c r="H217" i="3" s="1"/>
  <c r="I217" i="3" s="1"/>
  <c r="G218" i="3" l="1"/>
  <c r="H218" i="3" s="1"/>
  <c r="I218" i="3" s="1"/>
  <c r="G219" i="3" l="1"/>
  <c r="H219" i="3" s="1"/>
  <c r="I219" i="3" s="1"/>
  <c r="G220" i="3" l="1"/>
  <c r="H220" i="3" s="1"/>
  <c r="I220" i="3" s="1"/>
  <c r="G221" i="3" l="1"/>
  <c r="H221" i="3" s="1"/>
  <c r="I221" i="3" s="1"/>
  <c r="G222" i="3" l="1"/>
  <c r="H222" i="3" s="1"/>
  <c r="I222" i="3" s="1"/>
  <c r="G223" i="3" l="1"/>
  <c r="H223" i="3" s="1"/>
  <c r="I223" i="3" s="1"/>
  <c r="G224" i="3" l="1"/>
  <c r="H224" i="3" s="1"/>
  <c r="I224" i="3" s="1"/>
  <c r="G225" i="3" l="1"/>
  <c r="H225" i="3" s="1"/>
  <c r="I225" i="3" s="1"/>
  <c r="G226" i="3" l="1"/>
  <c r="H226" i="3" s="1"/>
  <c r="I226" i="3" s="1"/>
  <c r="G227" i="3" l="1"/>
  <c r="H227" i="3" s="1"/>
  <c r="I227" i="3" s="1"/>
  <c r="G228" i="3" l="1"/>
  <c r="H228" i="3" s="1"/>
  <c r="I228" i="3" s="1"/>
  <c r="G229" i="3" l="1"/>
  <c r="H229" i="3" s="1"/>
  <c r="I229" i="3" s="1"/>
  <c r="G230" i="3" l="1"/>
  <c r="H230" i="3" s="1"/>
  <c r="I230" i="3" s="1"/>
  <c r="G231" i="3" l="1"/>
  <c r="H231" i="3" s="1"/>
  <c r="I231" i="3" s="1"/>
  <c r="G232" i="3" l="1"/>
  <c r="H232" i="3" s="1"/>
  <c r="I232" i="3" s="1"/>
  <c r="G233" i="3" l="1"/>
  <c r="H233" i="3" s="1"/>
  <c r="I233" i="3" s="1"/>
  <c r="G234" i="3" l="1"/>
  <c r="H234" i="3" s="1"/>
  <c r="I234" i="3" s="1"/>
  <c r="G235" i="3" l="1"/>
  <c r="H235" i="3" s="1"/>
  <c r="I235" i="3" s="1"/>
  <c r="G236" i="3" l="1"/>
  <c r="H236" i="3" s="1"/>
  <c r="I236" i="3" s="1"/>
  <c r="G237" i="3" l="1"/>
  <c r="H237" i="3" s="1"/>
  <c r="I237" i="3" s="1"/>
  <c r="G238" i="3" l="1"/>
  <c r="H238" i="3" s="1"/>
  <c r="I238" i="3" s="1"/>
  <c r="G239" i="3" l="1"/>
  <c r="H239" i="3" s="1"/>
  <c r="I239" i="3" s="1"/>
  <c r="G240" i="3" l="1"/>
  <c r="H240" i="3" s="1"/>
  <c r="I240" i="3" s="1"/>
  <c r="G241" i="3" l="1"/>
  <c r="H241" i="3" s="1"/>
  <c r="I241" i="3" s="1"/>
  <c r="G242" i="3" l="1"/>
  <c r="H242" i="3" s="1"/>
  <c r="I242" i="3" s="1"/>
  <c r="G243" i="3" l="1"/>
  <c r="H243" i="3" s="1"/>
  <c r="I243" i="3" s="1"/>
  <c r="G244" i="3" l="1"/>
  <c r="H244" i="3" s="1"/>
  <c r="I244" i="3" s="1"/>
  <c r="G245" i="3" l="1"/>
  <c r="H245" i="3" s="1"/>
  <c r="I245" i="3" s="1"/>
  <c r="G246" i="3" l="1"/>
  <c r="H246" i="3" s="1"/>
  <c r="I246" i="3" s="1"/>
  <c r="G247" i="3" l="1"/>
  <c r="H247" i="3" s="1"/>
  <c r="I247" i="3" s="1"/>
  <c r="G248" i="3" l="1"/>
  <c r="H248" i="3" s="1"/>
  <c r="I248" i="3" s="1"/>
  <c r="G249" i="3" l="1"/>
  <c r="H249" i="3" s="1"/>
  <c r="I249" i="3" s="1"/>
  <c r="G250" i="3" l="1"/>
  <c r="H250" i="3" s="1"/>
  <c r="I250" i="3" s="1"/>
  <c r="G251" i="3" l="1"/>
  <c r="H251" i="3" s="1"/>
  <c r="I251" i="3" s="1"/>
  <c r="G252" i="3" l="1"/>
  <c r="H252" i="3" s="1"/>
  <c r="I252" i="3" s="1"/>
  <c r="G253" i="3" l="1"/>
  <c r="H253" i="3" s="1"/>
  <c r="I253" i="3" s="1"/>
  <c r="G254" i="3" l="1"/>
  <c r="H254" i="3" s="1"/>
  <c r="I254" i="3" s="1"/>
  <c r="G255" i="3" l="1"/>
  <c r="H255" i="3" s="1"/>
  <c r="I255" i="3" s="1"/>
  <c r="G256" i="3" l="1"/>
  <c r="H256" i="3" s="1"/>
  <c r="I256" i="3" s="1"/>
  <c r="G257" i="3" l="1"/>
  <c r="H257" i="3" s="1"/>
  <c r="I257" i="3" s="1"/>
  <c r="G258" i="3" l="1"/>
  <c r="H258" i="3" s="1"/>
  <c r="I258" i="3" s="1"/>
  <c r="G259" i="3" l="1"/>
  <c r="H259" i="3" s="1"/>
  <c r="I259" i="3" s="1"/>
  <c r="G260" i="3" l="1"/>
  <c r="H260" i="3" s="1"/>
  <c r="I260" i="3" s="1"/>
  <c r="G261" i="3" l="1"/>
  <c r="H261" i="3" s="1"/>
  <c r="I261" i="3" s="1"/>
  <c r="G262" i="3" l="1"/>
  <c r="H262" i="3" s="1"/>
  <c r="I262" i="3" s="1"/>
  <c r="G263" i="3" l="1"/>
  <c r="H263" i="3" s="1"/>
  <c r="I263" i="3" s="1"/>
  <c r="G264" i="3" l="1"/>
  <c r="H264" i="3" s="1"/>
  <c r="I264" i="3" s="1"/>
  <c r="G265" i="3" l="1"/>
  <c r="H265" i="3" s="1"/>
  <c r="I265" i="3" s="1"/>
  <c r="G266" i="3" l="1"/>
  <c r="H266" i="3" s="1"/>
  <c r="I266" i="3" s="1"/>
  <c r="G267" i="3" l="1"/>
  <c r="H267" i="3" s="1"/>
  <c r="I267" i="3" s="1"/>
  <c r="G268" i="3" l="1"/>
  <c r="H268" i="3" s="1"/>
  <c r="I268" i="3" s="1"/>
  <c r="G269" i="3" l="1"/>
  <c r="H269" i="3" s="1"/>
  <c r="I269" i="3" s="1"/>
  <c r="G270" i="3" l="1"/>
  <c r="H270" i="3" s="1"/>
  <c r="I270" i="3" s="1"/>
  <c r="G271" i="3" l="1"/>
  <c r="H271" i="3" s="1"/>
  <c r="I271" i="3" s="1"/>
  <c r="G272" i="3" l="1"/>
  <c r="H272" i="3" s="1"/>
  <c r="I272" i="3" s="1"/>
  <c r="G273" i="3" l="1"/>
  <c r="H273" i="3" s="1"/>
  <c r="I273" i="3" s="1"/>
  <c r="G274" i="3" l="1"/>
  <c r="H274" i="3" s="1"/>
  <c r="I274" i="3" s="1"/>
  <c r="G275" i="3" l="1"/>
  <c r="H275" i="3" s="1"/>
  <c r="I275" i="3" s="1"/>
  <c r="G276" i="3" l="1"/>
  <c r="H276" i="3" s="1"/>
  <c r="I276" i="3" s="1"/>
  <c r="G277" i="3" l="1"/>
  <c r="H277" i="3" s="1"/>
  <c r="I277" i="3" s="1"/>
  <c r="G278" i="3" l="1"/>
  <c r="H278" i="3" s="1"/>
  <c r="I278" i="3" s="1"/>
  <c r="G279" i="3" l="1"/>
  <c r="H279" i="3" s="1"/>
  <c r="I279" i="3" s="1"/>
  <c r="G280" i="3" l="1"/>
  <c r="H280" i="3" s="1"/>
  <c r="I280" i="3"/>
  <c r="G281" i="3" l="1"/>
  <c r="H281" i="3" s="1"/>
  <c r="I281" i="3" s="1"/>
  <c r="G282" i="3" l="1"/>
  <c r="H282" i="3" s="1"/>
  <c r="I282" i="3"/>
  <c r="G283" i="3" l="1"/>
  <c r="H283" i="3" s="1"/>
  <c r="I283" i="3" s="1"/>
  <c r="G284" i="3" l="1"/>
  <c r="H284" i="3" s="1"/>
  <c r="I284" i="3" s="1"/>
  <c r="G285" i="3" l="1"/>
  <c r="H285" i="3" s="1"/>
  <c r="I285" i="3" s="1"/>
  <c r="G286" i="3" l="1"/>
  <c r="H286" i="3" s="1"/>
  <c r="I286" i="3" s="1"/>
  <c r="G287" i="3" l="1"/>
  <c r="H287" i="3" s="1"/>
  <c r="I287" i="3" s="1"/>
  <c r="G288" i="3" l="1"/>
  <c r="H288" i="3" s="1"/>
  <c r="I288" i="3" s="1"/>
  <c r="G289" i="3" l="1"/>
  <c r="H289" i="3" s="1"/>
  <c r="I289" i="3" s="1"/>
  <c r="G290" i="3" l="1"/>
  <c r="H290" i="3" s="1"/>
  <c r="I290" i="3" s="1"/>
  <c r="G291" i="3" l="1"/>
  <c r="H291" i="3" s="1"/>
  <c r="I291" i="3" s="1"/>
  <c r="G292" i="3" l="1"/>
  <c r="H292" i="3" s="1"/>
  <c r="I292" i="3" s="1"/>
  <c r="G293" i="3" l="1"/>
  <c r="H293" i="3" s="1"/>
  <c r="I293" i="3"/>
  <c r="G294" i="3" l="1"/>
  <c r="H294" i="3" s="1"/>
  <c r="I294" i="3" s="1"/>
  <c r="G295" i="3" l="1"/>
  <c r="H295" i="3" s="1"/>
  <c r="I295" i="3" s="1"/>
  <c r="G296" i="3" l="1"/>
  <c r="H296" i="3" s="1"/>
  <c r="I296" i="3" s="1"/>
  <c r="G297" i="3" l="1"/>
  <c r="H297" i="3" s="1"/>
  <c r="I297" i="3" s="1"/>
  <c r="G298" i="3" l="1"/>
  <c r="H298" i="3" s="1"/>
  <c r="I298" i="3" s="1"/>
  <c r="G299" i="3" l="1"/>
  <c r="H299" i="3" s="1"/>
  <c r="I299" i="3" s="1"/>
  <c r="G300" i="3" l="1"/>
  <c r="H300" i="3" s="1"/>
  <c r="I300" i="3" s="1"/>
  <c r="G301" i="3" l="1"/>
  <c r="H301" i="3" s="1"/>
  <c r="I301" i="3" s="1"/>
  <c r="G302" i="3" l="1"/>
  <c r="H302" i="3" s="1"/>
  <c r="I302" i="3" s="1"/>
  <c r="G303" i="3" l="1"/>
  <c r="H303" i="3" s="1"/>
  <c r="I303" i="3" s="1"/>
  <c r="G304" i="3" l="1"/>
  <c r="H304" i="3" s="1"/>
  <c r="I304" i="3" s="1"/>
  <c r="G305" i="3" l="1"/>
  <c r="H305" i="3" s="1"/>
  <c r="I305" i="3" s="1"/>
  <c r="G306" i="3" l="1"/>
  <c r="H306" i="3" s="1"/>
  <c r="I306" i="3" s="1"/>
  <c r="G307" i="3" l="1"/>
  <c r="H307" i="3" s="1"/>
  <c r="I307" i="3" s="1"/>
  <c r="G308" i="3" l="1"/>
  <c r="H308" i="3" s="1"/>
  <c r="I308" i="3" s="1"/>
  <c r="G309" i="3" l="1"/>
  <c r="H309" i="3" s="1"/>
  <c r="I309" i="3" s="1"/>
  <c r="G310" i="3" l="1"/>
  <c r="H310" i="3" s="1"/>
  <c r="I310" i="3" s="1"/>
  <c r="G311" i="3" l="1"/>
  <c r="H311" i="3" s="1"/>
  <c r="I311" i="3" s="1"/>
  <c r="G312" i="3" l="1"/>
  <c r="H312" i="3" s="1"/>
  <c r="I312" i="3" s="1"/>
  <c r="G313" i="3" l="1"/>
  <c r="H313" i="3" s="1"/>
  <c r="I313" i="3" s="1"/>
  <c r="G314" i="3" l="1"/>
  <c r="H314" i="3" s="1"/>
  <c r="I314" i="3" s="1"/>
  <c r="G315" i="3" l="1"/>
  <c r="H315" i="3" s="1"/>
  <c r="I315" i="3" s="1"/>
  <c r="G316" i="3" l="1"/>
  <c r="H316" i="3" s="1"/>
  <c r="I316" i="3" s="1"/>
  <c r="G317" i="3" l="1"/>
  <c r="H317" i="3" s="1"/>
  <c r="I317" i="3" s="1"/>
  <c r="G318" i="3" l="1"/>
  <c r="H318" i="3" s="1"/>
  <c r="I318" i="3" s="1"/>
  <c r="G319" i="3" l="1"/>
  <c r="H319" i="3" s="1"/>
  <c r="I319" i="3" s="1"/>
  <c r="G320" i="3" l="1"/>
  <c r="H320" i="3" s="1"/>
  <c r="I320" i="3" s="1"/>
  <c r="G321" i="3" l="1"/>
  <c r="H321" i="3" s="1"/>
  <c r="I321" i="3" s="1"/>
  <c r="G322" i="3" l="1"/>
  <c r="H322" i="3" s="1"/>
  <c r="I322" i="3" s="1"/>
  <c r="G323" i="3" l="1"/>
  <c r="H323" i="3" s="1"/>
  <c r="I323" i="3" s="1"/>
  <c r="G324" i="3" l="1"/>
  <c r="H324" i="3" s="1"/>
  <c r="I324" i="3" s="1"/>
  <c r="G325" i="3" l="1"/>
  <c r="H325" i="3" s="1"/>
  <c r="I325" i="3"/>
  <c r="G326" i="3" l="1"/>
  <c r="H326" i="3" s="1"/>
  <c r="I326" i="3" s="1"/>
  <c r="G327" i="3" l="1"/>
  <c r="H327" i="3" s="1"/>
  <c r="I327" i="3" s="1"/>
  <c r="G328" i="3" l="1"/>
  <c r="H328" i="3" s="1"/>
  <c r="I328" i="3" s="1"/>
  <c r="G329" i="3" l="1"/>
  <c r="H329" i="3" s="1"/>
  <c r="I329" i="3" s="1"/>
  <c r="G330" i="3" l="1"/>
  <c r="H330" i="3" s="1"/>
  <c r="I330" i="3" s="1"/>
  <c r="G331" i="3" l="1"/>
  <c r="H331" i="3" s="1"/>
  <c r="I331" i="3" s="1"/>
  <c r="G332" i="3" l="1"/>
  <c r="H332" i="3" s="1"/>
  <c r="I332" i="3" s="1"/>
  <c r="G333" i="3" l="1"/>
  <c r="H333" i="3" s="1"/>
  <c r="I333" i="3" s="1"/>
  <c r="G334" i="3" l="1"/>
  <c r="H334" i="3" s="1"/>
  <c r="I334" i="3"/>
  <c r="G335" i="3" l="1"/>
  <c r="H335" i="3" s="1"/>
  <c r="I335" i="3" s="1"/>
  <c r="G336" i="3" l="1"/>
  <c r="H336" i="3" s="1"/>
  <c r="I336" i="3" s="1"/>
  <c r="G337" i="3" l="1"/>
  <c r="H337" i="3" s="1"/>
  <c r="I337" i="3" s="1"/>
  <c r="G338" i="3" l="1"/>
  <c r="H338" i="3" s="1"/>
  <c r="I338" i="3" s="1"/>
  <c r="G339" i="3" l="1"/>
  <c r="H339" i="3" s="1"/>
  <c r="I339" i="3" s="1"/>
  <c r="G340" i="3" l="1"/>
  <c r="H340" i="3" s="1"/>
  <c r="I340" i="3" s="1"/>
  <c r="G341" i="3" l="1"/>
  <c r="H341" i="3" s="1"/>
  <c r="I341" i="3" s="1"/>
  <c r="G342" i="3" l="1"/>
  <c r="H342" i="3" s="1"/>
  <c r="I342" i="3" s="1"/>
  <c r="G343" i="3" l="1"/>
  <c r="H343" i="3" s="1"/>
  <c r="I343" i="3" s="1"/>
  <c r="G344" i="3" l="1"/>
  <c r="H344" i="3" s="1"/>
  <c r="I344" i="3" s="1"/>
  <c r="G345" i="3" l="1"/>
  <c r="H345" i="3" s="1"/>
  <c r="I345" i="3" s="1"/>
  <c r="G346" i="3" l="1"/>
  <c r="H346" i="3" s="1"/>
  <c r="I346" i="3" s="1"/>
  <c r="G347" i="3" l="1"/>
  <c r="H347" i="3" s="1"/>
  <c r="I347" i="3" s="1"/>
  <c r="G348" i="3" l="1"/>
  <c r="H348" i="3" s="1"/>
  <c r="I348" i="3" s="1"/>
  <c r="G349" i="3" l="1"/>
  <c r="H349" i="3" s="1"/>
  <c r="I349" i="3" s="1"/>
  <c r="G350" i="3" l="1"/>
  <c r="H350" i="3" s="1"/>
  <c r="I350" i="3" s="1"/>
  <c r="G351" i="3" l="1"/>
  <c r="H351" i="3" s="1"/>
  <c r="I351" i="3" s="1"/>
  <c r="G352" i="3" l="1"/>
  <c r="H352" i="3" s="1"/>
  <c r="I352" i="3"/>
  <c r="G353" i="3" l="1"/>
  <c r="H353" i="3" s="1"/>
  <c r="I353" i="3" s="1"/>
  <c r="G354" i="3" l="1"/>
  <c r="H354" i="3" s="1"/>
  <c r="I354" i="3" s="1"/>
  <c r="G355" i="3" l="1"/>
  <c r="H355" i="3" s="1"/>
  <c r="I355" i="3" s="1"/>
  <c r="G356" i="3" l="1"/>
  <c r="H356" i="3" s="1"/>
  <c r="I356" i="3" s="1"/>
  <c r="G357" i="3" l="1"/>
  <c r="H357" i="3" s="1"/>
  <c r="I357" i="3" s="1"/>
  <c r="G358" i="3" l="1"/>
  <c r="H358" i="3" s="1"/>
  <c r="I358" i="3"/>
  <c r="G359" i="3" l="1"/>
  <c r="H359" i="3" s="1"/>
  <c r="I359" i="3" s="1"/>
  <c r="G360" i="3" l="1"/>
  <c r="H360" i="3" s="1"/>
  <c r="I360" i="3" s="1"/>
  <c r="G361" i="3" l="1"/>
  <c r="H361" i="3" s="1"/>
  <c r="I361" i="3" s="1"/>
  <c r="G362" i="3" l="1"/>
  <c r="H362" i="3" s="1"/>
  <c r="I362" i="3" s="1"/>
  <c r="G363" i="3" l="1"/>
  <c r="H363" i="3" s="1"/>
  <c r="I363" i="3" s="1"/>
  <c r="G364" i="3" l="1"/>
  <c r="H364" i="3" s="1"/>
  <c r="I364" i="3" s="1"/>
  <c r="G365" i="3" l="1"/>
  <c r="H365" i="3" s="1"/>
  <c r="I365" i="3" s="1"/>
  <c r="G366" i="3" l="1"/>
  <c r="H366" i="3" s="1"/>
  <c r="I366" i="3" s="1"/>
  <c r="G367" i="3" l="1"/>
  <c r="H367" i="3" s="1"/>
  <c r="I367" i="3" s="1"/>
  <c r="G368" i="3" l="1"/>
  <c r="H368" i="3" s="1"/>
  <c r="I368" i="3" s="1"/>
  <c r="G369" i="3" l="1"/>
  <c r="H369" i="3" s="1"/>
  <c r="I369" i="3" s="1"/>
  <c r="G370" i="3" l="1"/>
  <c r="H370" i="3" s="1"/>
  <c r="I370" i="3" s="1"/>
  <c r="G371" i="3" l="1"/>
  <c r="H371" i="3" s="1"/>
  <c r="I371" i="3" s="1"/>
  <c r="G372" i="3" l="1"/>
  <c r="H372" i="3" s="1"/>
  <c r="I372" i="3" s="1"/>
  <c r="G373" i="3" l="1"/>
  <c r="H373" i="3" s="1"/>
  <c r="I373" i="3" s="1"/>
  <c r="G374" i="3" l="1"/>
  <c r="H374" i="3" s="1"/>
  <c r="I374" i="3" s="1"/>
  <c r="G375" i="3" l="1"/>
  <c r="H375" i="3" s="1"/>
  <c r="I375" i="3" s="1"/>
  <c r="G376" i="3" l="1"/>
  <c r="H376" i="3" s="1"/>
  <c r="I376" i="3" s="1"/>
  <c r="G377" i="3" l="1"/>
  <c r="H377" i="3" s="1"/>
  <c r="I377" i="3" s="1"/>
  <c r="G378" i="3" l="1"/>
  <c r="H378" i="3" s="1"/>
  <c r="I378" i="3" s="1"/>
  <c r="G379" i="3" l="1"/>
  <c r="H379" i="3" s="1"/>
  <c r="I379" i="3" s="1"/>
  <c r="G380" i="3" l="1"/>
  <c r="H380" i="3" s="1"/>
  <c r="I380" i="3" s="1"/>
  <c r="G381" i="3" l="1"/>
  <c r="H381" i="3" s="1"/>
  <c r="I381" i="3" s="1"/>
  <c r="G382" i="3" l="1"/>
  <c r="H382" i="3" s="1"/>
  <c r="I382" i="3" s="1"/>
  <c r="G383" i="3" l="1"/>
  <c r="H383" i="3" s="1"/>
  <c r="I383" i="3" s="1"/>
  <c r="G384" i="3" l="1"/>
  <c r="H384" i="3" s="1"/>
  <c r="I384" i="3" s="1"/>
  <c r="G385" i="3" l="1"/>
  <c r="H385" i="3" s="1"/>
  <c r="I385" i="3" s="1"/>
  <c r="G386" i="3" l="1"/>
  <c r="H386" i="3" s="1"/>
  <c r="I386" i="3" s="1"/>
  <c r="G387" i="3" l="1"/>
  <c r="H387" i="3" s="1"/>
  <c r="I387" i="3" s="1"/>
</calcChain>
</file>

<file path=xl/sharedStrings.xml><?xml version="1.0" encoding="utf-8"?>
<sst xmlns="http://schemas.openxmlformats.org/spreadsheetml/2006/main" count="71" uniqueCount="37">
  <si>
    <t>Loan Amount</t>
  </si>
  <si>
    <t>LTV at Origination</t>
  </si>
  <si>
    <t>Home Value</t>
  </si>
  <si>
    <t>MI Cutoff LTV</t>
  </si>
  <si>
    <t>MI Cutoff Balance</t>
  </si>
  <si>
    <t>Prepaid Finance Charges</t>
  </si>
  <si>
    <t>Term (Months)</t>
  </si>
  <si>
    <t>Intro Rate</t>
  </si>
  <si>
    <t>Intro Period (Months)</t>
  </si>
  <si>
    <t>First Reset Rate</t>
  </si>
  <si>
    <t>Fully Indexed Rate</t>
  </si>
  <si>
    <t>Periodic Cap</t>
  </si>
  <si>
    <t>Lifetime Cap</t>
  </si>
  <si>
    <t>Adjustment Period (Months)</t>
  </si>
  <si>
    <t>Monthly Mortgage Insurance</t>
  </si>
  <si>
    <t>Amount Financed</t>
  </si>
  <si>
    <t>Month</t>
  </si>
  <si>
    <t>Annual Rate</t>
  </si>
  <si>
    <t>Monthly Rate</t>
  </si>
  <si>
    <t>P&amp;I Payment</t>
  </si>
  <si>
    <t>MI</t>
  </si>
  <si>
    <t>Total Payment</t>
  </si>
  <si>
    <t>Interest</t>
  </si>
  <si>
    <t>Principal</t>
  </si>
  <si>
    <t>Balance</t>
  </si>
  <si>
    <t>Cash Flow</t>
  </si>
  <si>
    <t>fixed?</t>
  </si>
  <si>
    <t>is formula same as angency fixed or FHA and VHA?
Formula in Agency Fixed:  Finance Charges = Mortgage Insurance fees + Closing cost fees +  pre paid interest
Formula in FHA and VA: Finance Charges = Closing cost fees + pre paid interest</t>
  </si>
  <si>
    <t>Questions</t>
  </si>
  <si>
    <t>Is there any difference in calculations for JUMBO loans</t>
  </si>
  <si>
    <t>Is Non Agency loans divided into fixed ARM ? If yes is there any difference in the calculations</t>
  </si>
  <si>
    <t>IRR</t>
  </si>
  <si>
    <t>APR</t>
  </si>
  <si>
    <t>Are these values correct?</t>
  </si>
  <si>
    <t>if mothly payment*60&gt;22% ltv</t>
  </si>
  <si>
    <t>&gt;</t>
  </si>
  <si>
    <t>else if monthlypayment *6&gt;22%ltv-the previous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</si>
</sst>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₹&quot;\ #,##0.00;[Red]&quot;₹&quot;\ \-#,##0.00"/>
    <numFmt numFmtId="164" formatCode="0.000%"/>
    <numFmt numFmtId="184" formatCode="&quot;₹&quot;\ #,##0.00000000000000000;[Red]&quot;₹&quot;\ \-#,##0.00000000000000000"/>
    <numFmt numFmtId="196" formatCode="0.0000000000000000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color rgb="FFC00000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vertical="center" wrapText="1"/>
    </xf>
    <xf numFmtId="0" fontId="2" fillId="0" borderId="0" xfId="0" applyFont="1"/>
    <xf numFmtId="0" fontId="2" fillId="0" borderId="1" xfId="0" applyFont="1" applyBorder="1"/>
    <xf numFmtId="0" fontId="3" fillId="0" borderId="2" xfId="0" applyFont="1" applyBorder="1"/>
    <xf numFmtId="164" fontId="0" fillId="0" borderId="3" xfId="0" applyNumberFormat="1" applyBorder="1"/>
    <xf numFmtId="164" fontId="0" fillId="0" borderId="4" xfId="1" applyNumberFormat="1" applyFont="1" applyBorder="1"/>
    <xf numFmtId="8" fontId="0" fillId="0" borderId="0" xfId="0" applyNumberFormat="1"/>
    <xf numFmtId="2" fontId="0" fillId="0" borderId="0" xfId="0" applyNumberFormat="1"/>
    <xf numFmtId="2" fontId="5" fillId="0" borderId="0" xfId="0" applyNumberFormat="1" applyFont="1"/>
    <xf numFmtId="184" fontId="0" fillId="0" borderId="0" xfId="0" applyNumberFormat="1"/>
    <xf numFmtId="196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19050</xdr:colOff>
      <xdr:row>0</xdr:row>
      <xdr:rowOff>38101</xdr:rowOff>
    </xdr:from>
    <xdr:to>
      <xdr:col>27</xdr:col>
      <xdr:colOff>588776</xdr:colOff>
      <xdr:row>22</xdr:row>
      <xdr:rowOff>152401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252F61-F254-557E-F613-61E711238B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43850" y="38101"/>
          <a:ext cx="9104126" cy="4165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A3F92-31DE-4F0E-8B2A-C01BCD602E57}">
  <dimension ref="A1:M381"/>
  <sheetViews>
    <sheetView topLeftCell="C55" workbookViewId="0">
      <selection activeCell="D82" sqref="D82"/>
    </sheetView>
  </sheetViews>
  <sheetFormatPr defaultRowHeight="14.5" x14ac:dyDescent="0.35"/>
  <cols>
    <col min="1" max="1" width="34" customWidth="1"/>
    <col min="2" max="2" width="12.81640625" customWidth="1"/>
    <col min="3" max="3" width="46.6328125" customWidth="1"/>
    <col min="4" max="4" width="11.81640625" bestFit="1" customWidth="1"/>
    <col min="6" max="6" width="13.08984375" bestFit="1" customWidth="1"/>
    <col min="10" max="10" width="9.81640625" bestFit="1" customWidth="1"/>
    <col min="11" max="11" width="10.26953125" bestFit="1" customWidth="1"/>
  </cols>
  <sheetData>
    <row r="1" spans="1:3" x14ac:dyDescent="0.35">
      <c r="A1" t="s">
        <v>0</v>
      </c>
      <c r="B1">
        <v>400000</v>
      </c>
    </row>
    <row r="2" spans="1:3" x14ac:dyDescent="0.35">
      <c r="A2" t="s">
        <v>1</v>
      </c>
      <c r="B2">
        <v>0.87</v>
      </c>
    </row>
    <row r="3" spans="1:3" x14ac:dyDescent="0.35">
      <c r="A3" t="s">
        <v>2</v>
      </c>
      <c r="B3">
        <f>B1/B2</f>
        <v>459770.11494252871</v>
      </c>
    </row>
    <row r="4" spans="1:3" x14ac:dyDescent="0.35">
      <c r="A4" t="s">
        <v>3</v>
      </c>
      <c r="B4">
        <v>0.78</v>
      </c>
    </row>
    <row r="5" spans="1:3" x14ac:dyDescent="0.35">
      <c r="A5" t="s">
        <v>4</v>
      </c>
      <c r="B5">
        <f>B3*B4</f>
        <v>358620.68965517241</v>
      </c>
    </row>
    <row r="6" spans="1:3" ht="101.5" x14ac:dyDescent="0.35">
      <c r="A6" t="s">
        <v>5</v>
      </c>
      <c r="B6">
        <v>26988.77</v>
      </c>
      <c r="C6" s="3" t="s">
        <v>27</v>
      </c>
    </row>
    <row r="7" spans="1:3" x14ac:dyDescent="0.35">
      <c r="A7" t="s">
        <v>6</v>
      </c>
      <c r="B7">
        <v>360</v>
      </c>
    </row>
    <row r="8" spans="1:3" x14ac:dyDescent="0.35">
      <c r="A8" t="s">
        <v>7</v>
      </c>
      <c r="B8">
        <v>0.04</v>
      </c>
      <c r="C8" s="2" t="s">
        <v>26</v>
      </c>
    </row>
    <row r="9" spans="1:3" x14ac:dyDescent="0.35">
      <c r="A9" t="s">
        <v>8</v>
      </c>
      <c r="B9">
        <v>60</v>
      </c>
      <c r="C9" s="2" t="s">
        <v>26</v>
      </c>
    </row>
    <row r="10" spans="1:3" x14ac:dyDescent="0.35">
      <c r="A10" t="s">
        <v>9</v>
      </c>
      <c r="B10">
        <v>0.06</v>
      </c>
      <c r="C10" s="2" t="s">
        <v>26</v>
      </c>
    </row>
    <row r="11" spans="1:3" x14ac:dyDescent="0.35">
      <c r="A11" t="s">
        <v>10</v>
      </c>
      <c r="B11">
        <v>7.7499999999999999E-2</v>
      </c>
      <c r="C11" s="2" t="s">
        <v>26</v>
      </c>
    </row>
    <row r="12" spans="1:3" x14ac:dyDescent="0.35">
      <c r="A12" t="s">
        <v>11</v>
      </c>
      <c r="B12">
        <v>0.02</v>
      </c>
      <c r="C12" s="2" t="s">
        <v>26</v>
      </c>
    </row>
    <row r="13" spans="1:3" x14ac:dyDescent="0.35">
      <c r="A13" t="s">
        <v>12</v>
      </c>
      <c r="B13">
        <v>0.05</v>
      </c>
      <c r="C13" s="2" t="s">
        <v>26</v>
      </c>
    </row>
    <row r="14" spans="1:3" x14ac:dyDescent="0.35">
      <c r="A14" t="s">
        <v>13</v>
      </c>
      <c r="B14">
        <v>6</v>
      </c>
      <c r="C14" s="2" t="s">
        <v>26</v>
      </c>
    </row>
    <row r="15" spans="1:3" x14ac:dyDescent="0.35">
      <c r="A15" t="s">
        <v>14</v>
      </c>
      <c r="B15">
        <v>100</v>
      </c>
      <c r="C15" s="2" t="s">
        <v>26</v>
      </c>
    </row>
    <row r="16" spans="1:3" x14ac:dyDescent="0.35">
      <c r="A16" t="s">
        <v>15</v>
      </c>
      <c r="B16">
        <f>B1-B6</f>
        <v>373011.23</v>
      </c>
    </row>
    <row r="19" spans="1:13" ht="15" thickBot="1" x14ac:dyDescent="0.4"/>
    <row r="20" spans="1:13" x14ac:dyDescent="0.35">
      <c r="A20" s="1" t="s">
        <v>16</v>
      </c>
      <c r="B20" s="1" t="s">
        <v>17</v>
      </c>
      <c r="C20" s="1" t="s">
        <v>18</v>
      </c>
      <c r="D20" s="1" t="s">
        <v>19</v>
      </c>
      <c r="E20" s="1" t="s">
        <v>20</v>
      </c>
      <c r="F20" s="1" t="s">
        <v>21</v>
      </c>
      <c r="G20" s="1" t="s">
        <v>22</v>
      </c>
      <c r="H20" s="1" t="s">
        <v>23</v>
      </c>
      <c r="I20" s="1" t="s">
        <v>24</v>
      </c>
      <c r="J20" s="1" t="s">
        <v>25</v>
      </c>
      <c r="K20" s="5" t="s">
        <v>31</v>
      </c>
      <c r="L20" s="6" t="s">
        <v>32</v>
      </c>
      <c r="M20" s="2" t="s">
        <v>33</v>
      </c>
    </row>
    <row r="21" spans="1:13" ht="15" thickBot="1" x14ac:dyDescent="0.4">
      <c r="A21">
        <v>0</v>
      </c>
      <c r="I21">
        <v>400000</v>
      </c>
      <c r="J21">
        <v>373011.23</v>
      </c>
      <c r="K21" s="7">
        <f>IRR(J21:J381)</f>
        <v>5.8199575994051234E-3</v>
      </c>
      <c r="L21" s="8">
        <f>(1+K21)^12-1</f>
        <v>7.2118979533197347E-2</v>
      </c>
    </row>
    <row r="22" spans="1:13" x14ac:dyDescent="0.35">
      <c r="A22">
        <v>1</v>
      </c>
      <c r="B22">
        <v>0.04</v>
      </c>
      <c r="C22">
        <v>3.3333299999999998E-3</v>
      </c>
      <c r="D22">
        <v>1909.66</v>
      </c>
      <c r="E22">
        <v>100</v>
      </c>
      <c r="F22">
        <v>2009.66</v>
      </c>
      <c r="G22">
        <v>1333.33</v>
      </c>
      <c r="H22">
        <v>576.33000000000004</v>
      </c>
      <c r="I22">
        <v>399423.67</v>
      </c>
      <c r="J22">
        <v>-2009.66</v>
      </c>
    </row>
    <row r="23" spans="1:13" x14ac:dyDescent="0.35">
      <c r="A23">
        <v>2</v>
      </c>
      <c r="B23">
        <v>0.04</v>
      </c>
      <c r="C23">
        <v>3.3333299999999998E-3</v>
      </c>
      <c r="D23">
        <v>1909.66</v>
      </c>
      <c r="E23">
        <v>100</v>
      </c>
      <c r="F23">
        <v>2009.66</v>
      </c>
      <c r="G23">
        <v>1331.41</v>
      </c>
      <c r="H23">
        <v>578.25</v>
      </c>
      <c r="I23">
        <v>398845.42</v>
      </c>
      <c r="J23">
        <v>-2009.66</v>
      </c>
    </row>
    <row r="24" spans="1:13" x14ac:dyDescent="0.35">
      <c r="A24">
        <v>3</v>
      </c>
      <c r="B24">
        <v>0.04</v>
      </c>
      <c r="C24">
        <v>3.3333299999999998E-3</v>
      </c>
      <c r="D24">
        <v>1909.66</v>
      </c>
      <c r="E24">
        <v>100</v>
      </c>
      <c r="F24">
        <v>2009.66</v>
      </c>
      <c r="G24">
        <v>1329.48</v>
      </c>
      <c r="H24">
        <v>580.17999999999995</v>
      </c>
      <c r="I24">
        <v>398265.25</v>
      </c>
      <c r="J24">
        <v>-2009.66</v>
      </c>
    </row>
    <row r="25" spans="1:13" x14ac:dyDescent="0.35">
      <c r="A25">
        <v>4</v>
      </c>
      <c r="B25">
        <v>0.04</v>
      </c>
      <c r="C25">
        <v>3.3333299999999998E-3</v>
      </c>
      <c r="D25">
        <v>1909.66</v>
      </c>
      <c r="E25">
        <v>100</v>
      </c>
      <c r="F25">
        <v>2009.66</v>
      </c>
      <c r="G25">
        <v>1327.55</v>
      </c>
      <c r="H25">
        <v>582.11</v>
      </c>
      <c r="I25">
        <v>397683.14</v>
      </c>
      <c r="J25">
        <v>-2009.66</v>
      </c>
    </row>
    <row r="26" spans="1:13" x14ac:dyDescent="0.35">
      <c r="A26">
        <v>5</v>
      </c>
      <c r="B26">
        <v>0.04</v>
      </c>
      <c r="C26">
        <v>3.3333299999999998E-3</v>
      </c>
      <c r="D26">
        <v>1909.66</v>
      </c>
      <c r="E26">
        <v>100</v>
      </c>
      <c r="F26">
        <v>2009.66</v>
      </c>
      <c r="G26">
        <v>1325.61</v>
      </c>
      <c r="H26">
        <v>584.04999999999995</v>
      </c>
      <c r="I26">
        <v>397099.09</v>
      </c>
      <c r="J26">
        <v>-2009.66</v>
      </c>
    </row>
    <row r="27" spans="1:13" x14ac:dyDescent="0.35">
      <c r="A27">
        <v>6</v>
      </c>
      <c r="B27">
        <v>0.04</v>
      </c>
      <c r="C27">
        <v>3.3333299999999998E-3</v>
      </c>
      <c r="D27">
        <v>1909.66</v>
      </c>
      <c r="E27">
        <v>100</v>
      </c>
      <c r="F27">
        <v>2009.66</v>
      </c>
      <c r="G27">
        <v>1323.66</v>
      </c>
      <c r="H27">
        <v>586</v>
      </c>
      <c r="I27">
        <v>396513.09</v>
      </c>
      <c r="J27">
        <v>-2009.66</v>
      </c>
    </row>
    <row r="28" spans="1:13" x14ac:dyDescent="0.35">
      <c r="A28">
        <v>7</v>
      </c>
      <c r="B28">
        <v>0.04</v>
      </c>
      <c r="C28">
        <v>3.3333299999999998E-3</v>
      </c>
      <c r="D28">
        <v>1909.66</v>
      </c>
      <c r="E28">
        <v>100</v>
      </c>
      <c r="F28">
        <v>2009.66</v>
      </c>
      <c r="G28">
        <v>1321.71</v>
      </c>
      <c r="H28">
        <v>587.95000000000005</v>
      </c>
      <c r="I28">
        <v>395925.14</v>
      </c>
      <c r="J28">
        <v>-2009.66</v>
      </c>
    </row>
    <row r="29" spans="1:13" x14ac:dyDescent="0.35">
      <c r="A29">
        <v>8</v>
      </c>
      <c r="B29">
        <v>0.04</v>
      </c>
      <c r="C29">
        <v>3.3333299999999998E-3</v>
      </c>
      <c r="D29">
        <v>1909.66</v>
      </c>
      <c r="E29">
        <v>100</v>
      </c>
      <c r="F29">
        <v>2009.66</v>
      </c>
      <c r="G29">
        <v>1319.75</v>
      </c>
      <c r="H29">
        <v>589.91</v>
      </c>
      <c r="I29">
        <v>395335.23</v>
      </c>
      <c r="J29">
        <v>-2009.66</v>
      </c>
    </row>
    <row r="30" spans="1:13" x14ac:dyDescent="0.35">
      <c r="A30">
        <v>9</v>
      </c>
      <c r="B30">
        <v>0.04</v>
      </c>
      <c r="C30">
        <v>3.3333299999999998E-3</v>
      </c>
      <c r="D30">
        <v>1909.66</v>
      </c>
      <c r="E30">
        <v>100</v>
      </c>
      <c r="F30">
        <v>2009.66</v>
      </c>
      <c r="G30">
        <v>1317.78</v>
      </c>
      <c r="H30">
        <v>591.88</v>
      </c>
      <c r="I30">
        <v>394743.35</v>
      </c>
      <c r="J30">
        <v>-2009.66</v>
      </c>
    </row>
    <row r="31" spans="1:13" x14ac:dyDescent="0.35">
      <c r="A31">
        <v>10</v>
      </c>
      <c r="B31">
        <v>0.04</v>
      </c>
      <c r="C31">
        <v>3.3333299999999998E-3</v>
      </c>
      <c r="D31">
        <v>1909.66</v>
      </c>
      <c r="E31">
        <v>100</v>
      </c>
      <c r="F31">
        <v>2009.66</v>
      </c>
      <c r="G31">
        <v>1315.81</v>
      </c>
      <c r="H31">
        <v>593.85</v>
      </c>
      <c r="I31">
        <v>394149.5</v>
      </c>
      <c r="J31">
        <v>-2009.66</v>
      </c>
    </row>
    <row r="32" spans="1:13" x14ac:dyDescent="0.35">
      <c r="A32">
        <v>11</v>
      </c>
      <c r="B32">
        <v>0.04</v>
      </c>
      <c r="C32">
        <v>3.3333299999999998E-3</v>
      </c>
      <c r="D32">
        <v>1909.66</v>
      </c>
      <c r="E32">
        <v>100</v>
      </c>
      <c r="F32">
        <v>2009.66</v>
      </c>
      <c r="G32">
        <v>1313.83</v>
      </c>
      <c r="H32">
        <v>595.83000000000004</v>
      </c>
      <c r="I32">
        <v>393553.67</v>
      </c>
      <c r="J32">
        <v>-2009.66</v>
      </c>
    </row>
    <row r="33" spans="1:10" x14ac:dyDescent="0.35">
      <c r="A33">
        <v>12</v>
      </c>
      <c r="B33">
        <v>0.04</v>
      </c>
      <c r="C33">
        <v>3.3333299999999998E-3</v>
      </c>
      <c r="D33">
        <v>1909.66</v>
      </c>
      <c r="E33">
        <v>100</v>
      </c>
      <c r="F33">
        <v>2009.66</v>
      </c>
      <c r="G33">
        <v>1311.85</v>
      </c>
      <c r="H33">
        <v>597.82000000000005</v>
      </c>
      <c r="I33">
        <v>392955.85</v>
      </c>
      <c r="J33">
        <v>-2009.66</v>
      </c>
    </row>
    <row r="34" spans="1:10" x14ac:dyDescent="0.35">
      <c r="A34">
        <v>13</v>
      </c>
      <c r="B34">
        <v>0.04</v>
      </c>
      <c r="C34">
        <v>3.3333299999999998E-3</v>
      </c>
      <c r="D34">
        <v>1909.66</v>
      </c>
      <c r="E34">
        <v>100</v>
      </c>
      <c r="F34">
        <v>2009.66</v>
      </c>
      <c r="G34">
        <v>1309.8499999999999</v>
      </c>
      <c r="H34">
        <v>599.80999999999995</v>
      </c>
      <c r="I34">
        <v>392356.05</v>
      </c>
      <c r="J34">
        <v>-2009.66</v>
      </c>
    </row>
    <row r="35" spans="1:10" x14ac:dyDescent="0.35">
      <c r="A35">
        <v>14</v>
      </c>
      <c r="B35">
        <v>0.04</v>
      </c>
      <c r="C35">
        <v>3.3333299999999998E-3</v>
      </c>
      <c r="D35">
        <v>1909.66</v>
      </c>
      <c r="E35">
        <v>100</v>
      </c>
      <c r="F35">
        <v>2009.66</v>
      </c>
      <c r="G35">
        <v>1307.8499999999999</v>
      </c>
      <c r="H35">
        <v>601.80999999999995</v>
      </c>
      <c r="I35">
        <v>391754.23999999999</v>
      </c>
      <c r="J35">
        <v>-2009.66</v>
      </c>
    </row>
    <row r="36" spans="1:10" x14ac:dyDescent="0.35">
      <c r="A36">
        <v>15</v>
      </c>
      <c r="B36">
        <v>0.04</v>
      </c>
      <c r="C36">
        <v>3.3333299999999998E-3</v>
      </c>
      <c r="D36">
        <v>1909.66</v>
      </c>
      <c r="E36">
        <v>100</v>
      </c>
      <c r="F36">
        <v>2009.66</v>
      </c>
      <c r="G36">
        <v>1305.8499999999999</v>
      </c>
      <c r="H36">
        <v>603.80999999999995</v>
      </c>
      <c r="I36">
        <v>391150.42</v>
      </c>
      <c r="J36">
        <v>-2009.66</v>
      </c>
    </row>
    <row r="37" spans="1:10" x14ac:dyDescent="0.35">
      <c r="A37">
        <v>16</v>
      </c>
      <c r="B37">
        <v>0.04</v>
      </c>
      <c r="C37">
        <v>3.3333299999999998E-3</v>
      </c>
      <c r="D37">
        <v>1909.66</v>
      </c>
      <c r="E37">
        <v>100</v>
      </c>
      <c r="F37">
        <v>2009.66</v>
      </c>
      <c r="G37">
        <v>1303.83</v>
      </c>
      <c r="H37">
        <v>605.83000000000004</v>
      </c>
      <c r="I37">
        <v>390544.6</v>
      </c>
      <c r="J37">
        <v>-2009.66</v>
      </c>
    </row>
    <row r="38" spans="1:10" x14ac:dyDescent="0.35">
      <c r="A38">
        <v>17</v>
      </c>
      <c r="B38">
        <v>0.04</v>
      </c>
      <c r="C38">
        <v>3.3333299999999998E-3</v>
      </c>
      <c r="D38">
        <v>1909.66</v>
      </c>
      <c r="E38">
        <v>100</v>
      </c>
      <c r="F38">
        <v>2009.66</v>
      </c>
      <c r="G38">
        <v>1301.82</v>
      </c>
      <c r="H38">
        <v>607.85</v>
      </c>
      <c r="I38">
        <v>389936.75</v>
      </c>
      <c r="J38">
        <v>-2009.66</v>
      </c>
    </row>
    <row r="39" spans="1:10" x14ac:dyDescent="0.35">
      <c r="A39">
        <v>18</v>
      </c>
      <c r="B39">
        <v>0.04</v>
      </c>
      <c r="C39">
        <v>3.3333299999999998E-3</v>
      </c>
      <c r="D39">
        <v>1909.66</v>
      </c>
      <c r="E39">
        <v>100</v>
      </c>
      <c r="F39">
        <v>2009.66</v>
      </c>
      <c r="G39">
        <v>1299.79</v>
      </c>
      <c r="H39">
        <v>609.87</v>
      </c>
      <c r="I39">
        <v>389326.88</v>
      </c>
      <c r="J39">
        <v>-2009.66</v>
      </c>
    </row>
    <row r="40" spans="1:10" x14ac:dyDescent="0.35">
      <c r="A40">
        <v>19</v>
      </c>
      <c r="B40">
        <v>0.04</v>
      </c>
      <c r="C40">
        <v>3.3333299999999998E-3</v>
      </c>
      <c r="D40">
        <v>1909.66</v>
      </c>
      <c r="E40">
        <v>100</v>
      </c>
      <c r="F40">
        <v>2009.66</v>
      </c>
      <c r="G40">
        <v>1297.76</v>
      </c>
      <c r="H40">
        <v>611.9</v>
      </c>
      <c r="I40">
        <v>388714.98</v>
      </c>
      <c r="J40">
        <v>-2009.66</v>
      </c>
    </row>
    <row r="41" spans="1:10" x14ac:dyDescent="0.35">
      <c r="A41">
        <v>20</v>
      </c>
      <c r="B41">
        <v>0.04</v>
      </c>
      <c r="C41">
        <v>3.3333299999999998E-3</v>
      </c>
      <c r="D41">
        <v>1909.66</v>
      </c>
      <c r="E41">
        <v>100</v>
      </c>
      <c r="F41">
        <v>2009.66</v>
      </c>
      <c r="G41">
        <v>1295.72</v>
      </c>
      <c r="H41">
        <v>613.94000000000005</v>
      </c>
      <c r="I41">
        <v>388101.03</v>
      </c>
      <c r="J41">
        <v>-2009.66</v>
      </c>
    </row>
    <row r="42" spans="1:10" x14ac:dyDescent="0.35">
      <c r="A42">
        <v>21</v>
      </c>
      <c r="B42">
        <v>0.04</v>
      </c>
      <c r="C42">
        <v>3.3333299999999998E-3</v>
      </c>
      <c r="D42">
        <v>1909.66</v>
      </c>
      <c r="E42">
        <v>100</v>
      </c>
      <c r="F42">
        <v>2009.66</v>
      </c>
      <c r="G42">
        <v>1293.67</v>
      </c>
      <c r="H42">
        <v>615.99</v>
      </c>
      <c r="I42">
        <v>387485.04</v>
      </c>
      <c r="J42">
        <v>-2009.66</v>
      </c>
    </row>
    <row r="43" spans="1:10" x14ac:dyDescent="0.35">
      <c r="A43">
        <v>22</v>
      </c>
      <c r="B43">
        <v>0.04</v>
      </c>
      <c r="C43">
        <v>3.3333299999999998E-3</v>
      </c>
      <c r="D43">
        <v>1909.66</v>
      </c>
      <c r="E43">
        <v>100</v>
      </c>
      <c r="F43">
        <v>2009.66</v>
      </c>
      <c r="G43">
        <v>1291.6199999999999</v>
      </c>
      <c r="H43">
        <v>618.04</v>
      </c>
      <c r="I43">
        <v>386867</v>
      </c>
      <c r="J43">
        <v>-2009.66</v>
      </c>
    </row>
    <row r="44" spans="1:10" x14ac:dyDescent="0.35">
      <c r="A44">
        <v>23</v>
      </c>
      <c r="B44">
        <v>0.04</v>
      </c>
      <c r="C44">
        <v>3.3333299999999998E-3</v>
      </c>
      <c r="D44">
        <v>1909.66</v>
      </c>
      <c r="E44">
        <v>100</v>
      </c>
      <c r="F44">
        <v>2009.66</v>
      </c>
      <c r="G44">
        <v>1289.56</v>
      </c>
      <c r="H44">
        <v>620.1</v>
      </c>
      <c r="I44">
        <v>386246.89</v>
      </c>
      <c r="J44">
        <v>-2009.66</v>
      </c>
    </row>
    <row r="45" spans="1:10" x14ac:dyDescent="0.35">
      <c r="A45">
        <v>24</v>
      </c>
      <c r="B45">
        <v>0.04</v>
      </c>
      <c r="C45">
        <v>3.3333299999999998E-3</v>
      </c>
      <c r="D45">
        <v>1909.66</v>
      </c>
      <c r="E45">
        <v>100</v>
      </c>
      <c r="F45">
        <v>2009.66</v>
      </c>
      <c r="G45">
        <v>1287.49</v>
      </c>
      <c r="H45">
        <v>622.16999999999996</v>
      </c>
      <c r="I45">
        <v>385624.72</v>
      </c>
      <c r="J45">
        <v>-2009.66</v>
      </c>
    </row>
    <row r="46" spans="1:10" x14ac:dyDescent="0.35">
      <c r="A46">
        <v>25</v>
      </c>
      <c r="B46">
        <v>0.04</v>
      </c>
      <c r="C46">
        <v>3.3333299999999998E-3</v>
      </c>
      <c r="D46">
        <v>1909.66</v>
      </c>
      <c r="E46">
        <v>100</v>
      </c>
      <c r="F46">
        <v>2009.66</v>
      </c>
      <c r="G46">
        <v>1285.42</v>
      </c>
      <c r="H46">
        <v>624.25</v>
      </c>
      <c r="I46">
        <v>385000.47</v>
      </c>
      <c r="J46">
        <v>-2009.66</v>
      </c>
    </row>
    <row r="47" spans="1:10" x14ac:dyDescent="0.35">
      <c r="A47">
        <v>26</v>
      </c>
      <c r="B47">
        <v>0.04</v>
      </c>
      <c r="C47">
        <v>3.3333299999999998E-3</v>
      </c>
      <c r="D47">
        <v>1909.66</v>
      </c>
      <c r="E47">
        <v>100</v>
      </c>
      <c r="F47">
        <v>2009.66</v>
      </c>
      <c r="G47">
        <v>1283.33</v>
      </c>
      <c r="H47">
        <v>626.33000000000004</v>
      </c>
      <c r="I47">
        <v>384374.15</v>
      </c>
      <c r="J47">
        <v>-2009.66</v>
      </c>
    </row>
    <row r="48" spans="1:10" x14ac:dyDescent="0.35">
      <c r="A48">
        <v>27</v>
      </c>
      <c r="B48">
        <v>0.04</v>
      </c>
      <c r="C48">
        <v>3.3333299999999998E-3</v>
      </c>
      <c r="D48">
        <v>1909.66</v>
      </c>
      <c r="E48">
        <v>100</v>
      </c>
      <c r="F48">
        <v>2009.66</v>
      </c>
      <c r="G48">
        <v>1281.25</v>
      </c>
      <c r="H48">
        <v>628.41</v>
      </c>
      <c r="I48">
        <v>383745.73</v>
      </c>
      <c r="J48">
        <v>-2009.66</v>
      </c>
    </row>
    <row r="49" spans="1:10" x14ac:dyDescent="0.35">
      <c r="A49">
        <v>28</v>
      </c>
      <c r="B49">
        <v>0.04</v>
      </c>
      <c r="C49">
        <v>3.3333299999999998E-3</v>
      </c>
      <c r="D49">
        <v>1909.66</v>
      </c>
      <c r="E49">
        <v>100</v>
      </c>
      <c r="F49">
        <v>2009.66</v>
      </c>
      <c r="G49">
        <v>1279.1500000000001</v>
      </c>
      <c r="H49">
        <v>630.51</v>
      </c>
      <c r="I49">
        <v>383115.22</v>
      </c>
      <c r="J49">
        <v>-2009.66</v>
      </c>
    </row>
    <row r="50" spans="1:10" x14ac:dyDescent="0.35">
      <c r="A50">
        <v>29</v>
      </c>
      <c r="B50">
        <v>0.04</v>
      </c>
      <c r="C50">
        <v>3.3333299999999998E-3</v>
      </c>
      <c r="D50">
        <v>1909.66</v>
      </c>
      <c r="E50">
        <v>100</v>
      </c>
      <c r="F50">
        <v>2009.66</v>
      </c>
      <c r="G50">
        <v>1277.05</v>
      </c>
      <c r="H50">
        <v>632.61</v>
      </c>
      <c r="I50">
        <v>382482.61</v>
      </c>
      <c r="J50">
        <v>-2009.66</v>
      </c>
    </row>
    <row r="51" spans="1:10" x14ac:dyDescent="0.35">
      <c r="A51">
        <v>30</v>
      </c>
      <c r="B51">
        <v>0.04</v>
      </c>
      <c r="C51">
        <v>3.3333299999999998E-3</v>
      </c>
      <c r="D51">
        <v>1909.66</v>
      </c>
      <c r="E51">
        <v>100</v>
      </c>
      <c r="F51">
        <v>2009.66</v>
      </c>
      <c r="G51">
        <v>1274.94</v>
      </c>
      <c r="H51">
        <v>634.72</v>
      </c>
      <c r="I51">
        <v>381847.9</v>
      </c>
      <c r="J51">
        <v>-2009.66</v>
      </c>
    </row>
    <row r="52" spans="1:10" x14ac:dyDescent="0.35">
      <c r="A52">
        <v>31</v>
      </c>
      <c r="B52">
        <v>0.04</v>
      </c>
      <c r="C52">
        <v>3.3333299999999998E-3</v>
      </c>
      <c r="D52">
        <v>1909.66</v>
      </c>
      <c r="E52">
        <v>100</v>
      </c>
      <c r="F52">
        <v>2009.66</v>
      </c>
      <c r="G52">
        <v>1272.83</v>
      </c>
      <c r="H52">
        <v>636.83000000000004</v>
      </c>
      <c r="I52">
        <v>381211.06</v>
      </c>
      <c r="J52">
        <v>-2009.66</v>
      </c>
    </row>
    <row r="53" spans="1:10" x14ac:dyDescent="0.35">
      <c r="A53">
        <v>32</v>
      </c>
      <c r="B53">
        <v>0.04</v>
      </c>
      <c r="C53">
        <v>3.3333299999999998E-3</v>
      </c>
      <c r="D53">
        <v>1909.66</v>
      </c>
      <c r="E53">
        <v>100</v>
      </c>
      <c r="F53">
        <v>2009.66</v>
      </c>
      <c r="G53">
        <v>1270.7</v>
      </c>
      <c r="H53">
        <v>638.96</v>
      </c>
      <c r="I53">
        <v>380572.1</v>
      </c>
      <c r="J53">
        <v>-2009.66</v>
      </c>
    </row>
    <row r="54" spans="1:10" x14ac:dyDescent="0.35">
      <c r="A54">
        <v>33</v>
      </c>
      <c r="B54">
        <v>0.04</v>
      </c>
      <c r="C54">
        <v>3.3333299999999998E-3</v>
      </c>
      <c r="D54">
        <v>1909.66</v>
      </c>
      <c r="E54">
        <v>100</v>
      </c>
      <c r="F54">
        <v>2009.66</v>
      </c>
      <c r="G54">
        <v>1268.57</v>
      </c>
      <c r="H54">
        <v>641.09</v>
      </c>
      <c r="I54">
        <v>379931.02</v>
      </c>
      <c r="J54">
        <v>-2009.66</v>
      </c>
    </row>
    <row r="55" spans="1:10" x14ac:dyDescent="0.35">
      <c r="A55">
        <v>34</v>
      </c>
      <c r="B55">
        <v>0.04</v>
      </c>
      <c r="C55">
        <v>3.3333299999999998E-3</v>
      </c>
      <c r="D55">
        <v>1909.66</v>
      </c>
      <c r="E55">
        <v>100</v>
      </c>
      <c r="F55">
        <v>2009.66</v>
      </c>
      <c r="G55">
        <v>1266.44</v>
      </c>
      <c r="H55">
        <v>643.22</v>
      </c>
      <c r="I55">
        <v>379287.79</v>
      </c>
      <c r="J55">
        <v>-2009.66</v>
      </c>
    </row>
    <row r="56" spans="1:10" x14ac:dyDescent="0.35">
      <c r="A56">
        <v>35</v>
      </c>
      <c r="B56">
        <v>0.04</v>
      </c>
      <c r="C56">
        <v>3.3333299999999998E-3</v>
      </c>
      <c r="D56">
        <v>1909.66</v>
      </c>
      <c r="E56">
        <v>100</v>
      </c>
      <c r="F56">
        <v>2009.66</v>
      </c>
      <c r="G56">
        <v>1264.29</v>
      </c>
      <c r="H56">
        <v>645.37</v>
      </c>
      <c r="I56">
        <v>378642.42</v>
      </c>
      <c r="J56">
        <v>-2009.66</v>
      </c>
    </row>
    <row r="57" spans="1:10" x14ac:dyDescent="0.35">
      <c r="A57">
        <v>36</v>
      </c>
      <c r="B57">
        <v>0.04</v>
      </c>
      <c r="C57">
        <v>3.3333299999999998E-3</v>
      </c>
      <c r="D57">
        <v>1909.66</v>
      </c>
      <c r="E57">
        <v>100</v>
      </c>
      <c r="F57">
        <v>2009.66</v>
      </c>
      <c r="G57">
        <v>1262.1400000000001</v>
      </c>
      <c r="H57">
        <v>647.52</v>
      </c>
      <c r="I57">
        <v>377994.9</v>
      </c>
      <c r="J57">
        <v>-2009.66</v>
      </c>
    </row>
    <row r="58" spans="1:10" x14ac:dyDescent="0.35">
      <c r="A58">
        <v>37</v>
      </c>
      <c r="B58">
        <v>0.04</v>
      </c>
      <c r="C58">
        <v>3.3333299999999998E-3</v>
      </c>
      <c r="D58">
        <v>1909.66</v>
      </c>
      <c r="E58">
        <v>100</v>
      </c>
      <c r="F58">
        <v>2009.66</v>
      </c>
      <c r="G58">
        <v>1259.98</v>
      </c>
      <c r="H58">
        <v>649.67999999999995</v>
      </c>
      <c r="I58">
        <v>377345.22</v>
      </c>
      <c r="J58">
        <v>-2009.66</v>
      </c>
    </row>
    <row r="59" spans="1:10" x14ac:dyDescent="0.35">
      <c r="A59">
        <v>38</v>
      </c>
      <c r="B59">
        <v>0.04</v>
      </c>
      <c r="C59">
        <v>3.3333299999999998E-3</v>
      </c>
      <c r="D59">
        <v>1909.66</v>
      </c>
      <c r="E59">
        <v>100</v>
      </c>
      <c r="F59">
        <v>2009.66</v>
      </c>
      <c r="G59">
        <v>1257.82</v>
      </c>
      <c r="H59">
        <v>651.84</v>
      </c>
      <c r="I59">
        <v>376693.38</v>
      </c>
      <c r="J59">
        <v>-2009.66</v>
      </c>
    </row>
    <row r="60" spans="1:10" x14ac:dyDescent="0.35">
      <c r="A60">
        <v>39</v>
      </c>
      <c r="B60">
        <v>0.04</v>
      </c>
      <c r="C60">
        <v>3.3333299999999998E-3</v>
      </c>
      <c r="D60">
        <v>1909.66</v>
      </c>
      <c r="E60">
        <v>100</v>
      </c>
      <c r="F60">
        <v>2009.66</v>
      </c>
      <c r="G60">
        <v>1255.6400000000001</v>
      </c>
      <c r="H60">
        <v>654.02</v>
      </c>
      <c r="I60">
        <v>376039.36</v>
      </c>
      <c r="J60">
        <v>-2009.66</v>
      </c>
    </row>
    <row r="61" spans="1:10" x14ac:dyDescent="0.35">
      <c r="A61">
        <v>40</v>
      </c>
      <c r="B61">
        <v>0.04</v>
      </c>
      <c r="C61">
        <v>3.3333299999999998E-3</v>
      </c>
      <c r="D61">
        <v>1909.66</v>
      </c>
      <c r="E61">
        <v>100</v>
      </c>
      <c r="F61">
        <v>2009.66</v>
      </c>
      <c r="G61">
        <v>1253.46</v>
      </c>
      <c r="H61">
        <v>656.2</v>
      </c>
      <c r="I61">
        <v>375383.17</v>
      </c>
      <c r="J61">
        <v>-2009.66</v>
      </c>
    </row>
    <row r="62" spans="1:10" x14ac:dyDescent="0.35">
      <c r="A62">
        <v>41</v>
      </c>
      <c r="B62">
        <v>0.04</v>
      </c>
      <c r="C62">
        <v>3.3333299999999998E-3</v>
      </c>
      <c r="D62">
        <v>1909.66</v>
      </c>
      <c r="E62">
        <v>100</v>
      </c>
      <c r="F62">
        <v>2009.66</v>
      </c>
      <c r="G62">
        <v>1251.28</v>
      </c>
      <c r="H62">
        <v>658.38</v>
      </c>
      <c r="I62">
        <v>374724.78</v>
      </c>
      <c r="J62">
        <v>-2009.66</v>
      </c>
    </row>
    <row r="63" spans="1:10" x14ac:dyDescent="0.35">
      <c r="A63">
        <v>42</v>
      </c>
      <c r="B63">
        <v>0.04</v>
      </c>
      <c r="C63">
        <v>3.3333299999999998E-3</v>
      </c>
      <c r="D63">
        <v>1909.66</v>
      </c>
      <c r="E63">
        <v>100</v>
      </c>
      <c r="F63">
        <v>2009.66</v>
      </c>
      <c r="G63">
        <v>1249.08</v>
      </c>
      <c r="H63">
        <v>660.58</v>
      </c>
      <c r="I63">
        <v>374064.2</v>
      </c>
      <c r="J63">
        <v>-2009.66</v>
      </c>
    </row>
    <row r="64" spans="1:10" x14ac:dyDescent="0.35">
      <c r="A64">
        <v>43</v>
      </c>
      <c r="B64">
        <v>0.04</v>
      </c>
      <c r="C64">
        <v>3.3333299999999998E-3</v>
      </c>
      <c r="D64">
        <v>1909.66</v>
      </c>
      <c r="E64">
        <v>100</v>
      </c>
      <c r="F64">
        <v>2009.66</v>
      </c>
      <c r="G64">
        <v>1246.8800000000001</v>
      </c>
      <c r="H64">
        <v>662.78</v>
      </c>
      <c r="I64">
        <v>373401.42</v>
      </c>
      <c r="J64">
        <v>-2009.66</v>
      </c>
    </row>
    <row r="65" spans="1:10" x14ac:dyDescent="0.35">
      <c r="A65">
        <v>44</v>
      </c>
      <c r="B65">
        <v>0.04</v>
      </c>
      <c r="C65">
        <v>3.3333299999999998E-3</v>
      </c>
      <c r="D65">
        <v>1909.66</v>
      </c>
      <c r="E65">
        <v>100</v>
      </c>
      <c r="F65">
        <v>2009.66</v>
      </c>
      <c r="G65">
        <v>1244.67</v>
      </c>
      <c r="H65">
        <v>664.99</v>
      </c>
      <c r="I65">
        <v>372736.43</v>
      </c>
      <c r="J65">
        <v>-2009.66</v>
      </c>
    </row>
    <row r="66" spans="1:10" x14ac:dyDescent="0.35">
      <c r="A66">
        <v>45</v>
      </c>
      <c r="B66">
        <v>0.04</v>
      </c>
      <c r="C66">
        <v>3.3333299999999998E-3</v>
      </c>
      <c r="D66">
        <v>1909.66</v>
      </c>
      <c r="E66">
        <v>100</v>
      </c>
      <c r="F66">
        <v>2009.66</v>
      </c>
      <c r="G66">
        <v>1242.45</v>
      </c>
      <c r="H66">
        <v>667.21</v>
      </c>
      <c r="I66">
        <v>372069.23</v>
      </c>
      <c r="J66">
        <v>-2009.66</v>
      </c>
    </row>
    <row r="67" spans="1:10" x14ac:dyDescent="0.35">
      <c r="A67">
        <v>46</v>
      </c>
      <c r="B67">
        <v>0.04</v>
      </c>
      <c r="C67">
        <v>3.3333299999999998E-3</v>
      </c>
      <c r="D67">
        <v>1909.66</v>
      </c>
      <c r="E67">
        <v>100</v>
      </c>
      <c r="F67">
        <v>2009.66</v>
      </c>
      <c r="G67">
        <v>1240.23</v>
      </c>
      <c r="H67">
        <v>669.43</v>
      </c>
      <c r="I67">
        <v>371399.8</v>
      </c>
      <c r="J67">
        <v>-2009.66</v>
      </c>
    </row>
    <row r="68" spans="1:10" x14ac:dyDescent="0.35">
      <c r="A68">
        <v>47</v>
      </c>
      <c r="B68">
        <v>0.04</v>
      </c>
      <c r="C68">
        <v>3.3333299999999998E-3</v>
      </c>
      <c r="D68">
        <v>1909.66</v>
      </c>
      <c r="E68">
        <v>100</v>
      </c>
      <c r="F68">
        <v>2009.66</v>
      </c>
      <c r="G68">
        <v>1238</v>
      </c>
      <c r="H68">
        <v>671.66</v>
      </c>
      <c r="I68">
        <v>370728.14</v>
      </c>
      <c r="J68">
        <v>-2009.66</v>
      </c>
    </row>
    <row r="69" spans="1:10" x14ac:dyDescent="0.35">
      <c r="A69">
        <v>48</v>
      </c>
      <c r="B69">
        <v>0.04</v>
      </c>
      <c r="C69">
        <v>3.3333299999999998E-3</v>
      </c>
      <c r="D69">
        <v>1909.66</v>
      </c>
      <c r="E69">
        <v>100</v>
      </c>
      <c r="F69">
        <v>2009.66</v>
      </c>
      <c r="G69">
        <v>1235.76</v>
      </c>
      <c r="H69">
        <v>673.9</v>
      </c>
      <c r="I69">
        <v>370054.23</v>
      </c>
      <c r="J69">
        <v>-2009.66</v>
      </c>
    </row>
    <row r="70" spans="1:10" x14ac:dyDescent="0.35">
      <c r="A70">
        <v>49</v>
      </c>
      <c r="B70">
        <v>0.04</v>
      </c>
      <c r="C70">
        <v>3.3333299999999998E-3</v>
      </c>
      <c r="D70">
        <v>1909.66</v>
      </c>
      <c r="E70">
        <v>100</v>
      </c>
      <c r="F70">
        <v>2009.66</v>
      </c>
      <c r="G70">
        <v>1233.51</v>
      </c>
      <c r="H70">
        <v>676.15</v>
      </c>
      <c r="I70">
        <v>369378.09</v>
      </c>
      <c r="J70">
        <v>-2009.66</v>
      </c>
    </row>
    <row r="71" spans="1:10" x14ac:dyDescent="0.35">
      <c r="A71">
        <v>50</v>
      </c>
      <c r="B71">
        <v>0.04</v>
      </c>
      <c r="C71">
        <v>3.3333299999999998E-3</v>
      </c>
      <c r="D71">
        <v>1909.66</v>
      </c>
      <c r="E71">
        <v>100</v>
      </c>
      <c r="F71">
        <v>2009.66</v>
      </c>
      <c r="G71">
        <v>1231.26</v>
      </c>
      <c r="H71">
        <v>678.4</v>
      </c>
      <c r="I71">
        <v>368699.69</v>
      </c>
      <c r="J71">
        <v>-2009.66</v>
      </c>
    </row>
    <row r="72" spans="1:10" x14ac:dyDescent="0.35">
      <c r="A72">
        <v>51</v>
      </c>
      <c r="B72">
        <v>0.04</v>
      </c>
      <c r="C72">
        <v>3.3333299999999998E-3</v>
      </c>
      <c r="D72">
        <v>1909.66</v>
      </c>
      <c r="E72">
        <v>100</v>
      </c>
      <c r="F72">
        <v>2009.66</v>
      </c>
      <c r="G72">
        <v>1229</v>
      </c>
      <c r="H72">
        <v>680.66</v>
      </c>
      <c r="I72">
        <v>368019.02</v>
      </c>
      <c r="J72">
        <v>-2009.66</v>
      </c>
    </row>
    <row r="73" spans="1:10" x14ac:dyDescent="0.35">
      <c r="A73">
        <v>52</v>
      </c>
      <c r="B73">
        <v>0.04</v>
      </c>
      <c r="C73">
        <v>3.3333299999999998E-3</v>
      </c>
      <c r="D73">
        <v>1909.66</v>
      </c>
      <c r="E73">
        <v>100</v>
      </c>
      <c r="F73">
        <v>2009.66</v>
      </c>
      <c r="G73">
        <v>1226.73</v>
      </c>
      <c r="H73">
        <v>682.93</v>
      </c>
      <c r="I73">
        <v>367336.09</v>
      </c>
      <c r="J73">
        <v>-2009.66</v>
      </c>
    </row>
    <row r="74" spans="1:10" x14ac:dyDescent="0.35">
      <c r="A74">
        <v>53</v>
      </c>
      <c r="B74">
        <v>0.04</v>
      </c>
      <c r="C74">
        <v>3.3333299999999998E-3</v>
      </c>
      <c r="D74">
        <v>1909.66</v>
      </c>
      <c r="E74">
        <v>100</v>
      </c>
      <c r="F74">
        <v>2009.66</v>
      </c>
      <c r="G74">
        <v>1224.45</v>
      </c>
      <c r="H74">
        <v>685.21</v>
      </c>
      <c r="I74">
        <v>366650.89</v>
      </c>
      <c r="J74">
        <v>-2009.66</v>
      </c>
    </row>
    <row r="75" spans="1:10" x14ac:dyDescent="0.35">
      <c r="A75">
        <v>54</v>
      </c>
      <c r="B75">
        <v>0.04</v>
      </c>
      <c r="C75">
        <v>3.3333299999999998E-3</v>
      </c>
      <c r="D75">
        <v>1909.66</v>
      </c>
      <c r="E75">
        <v>100</v>
      </c>
      <c r="F75">
        <v>2009.66</v>
      </c>
      <c r="G75">
        <v>1222.17</v>
      </c>
      <c r="H75">
        <v>687.49</v>
      </c>
      <c r="I75">
        <v>365963.39</v>
      </c>
      <c r="J75">
        <v>-2009.66</v>
      </c>
    </row>
    <row r="76" spans="1:10" x14ac:dyDescent="0.35">
      <c r="A76">
        <v>55</v>
      </c>
      <c r="B76">
        <v>0.04</v>
      </c>
      <c r="C76">
        <v>3.3333299999999998E-3</v>
      </c>
      <c r="D76">
        <v>1909.66</v>
      </c>
      <c r="E76">
        <v>100</v>
      </c>
      <c r="F76">
        <v>2009.66</v>
      </c>
      <c r="G76">
        <v>1219.8800000000001</v>
      </c>
      <c r="H76">
        <v>689.78</v>
      </c>
      <c r="I76">
        <v>365273.61</v>
      </c>
      <c r="J76">
        <v>-2009.66</v>
      </c>
    </row>
    <row r="77" spans="1:10" x14ac:dyDescent="0.35">
      <c r="A77">
        <v>56</v>
      </c>
      <c r="B77">
        <v>0.04</v>
      </c>
      <c r="C77">
        <v>3.3333299999999998E-3</v>
      </c>
      <c r="D77">
        <v>1909.66</v>
      </c>
      <c r="E77">
        <v>100</v>
      </c>
      <c r="F77">
        <v>2009.66</v>
      </c>
      <c r="G77">
        <v>1217.58</v>
      </c>
      <c r="H77">
        <v>692.08</v>
      </c>
      <c r="I77">
        <v>364581.53</v>
      </c>
      <c r="J77">
        <v>-2009.66</v>
      </c>
    </row>
    <row r="78" spans="1:10" x14ac:dyDescent="0.35">
      <c r="A78">
        <v>57</v>
      </c>
      <c r="B78">
        <v>0.04</v>
      </c>
      <c r="C78">
        <v>3.3333299999999998E-3</v>
      </c>
      <c r="D78">
        <v>1909.66</v>
      </c>
      <c r="E78">
        <v>100</v>
      </c>
      <c r="F78">
        <v>2009.66</v>
      </c>
      <c r="G78">
        <v>1215.27</v>
      </c>
      <c r="H78">
        <v>694.39</v>
      </c>
      <c r="I78">
        <v>363887.14</v>
      </c>
      <c r="J78">
        <v>-2009.66</v>
      </c>
    </row>
    <row r="79" spans="1:10" x14ac:dyDescent="0.35">
      <c r="A79">
        <v>58</v>
      </c>
      <c r="B79">
        <v>0.04</v>
      </c>
      <c r="C79">
        <v>3.3333299999999998E-3</v>
      </c>
      <c r="D79">
        <v>1909.66</v>
      </c>
      <c r="E79">
        <v>100</v>
      </c>
      <c r="F79">
        <v>2009.66</v>
      </c>
      <c r="G79">
        <v>1212.96</v>
      </c>
      <c r="H79">
        <v>696.7</v>
      </c>
      <c r="I79">
        <v>363190.44</v>
      </c>
      <c r="J79">
        <v>-2009.66</v>
      </c>
    </row>
    <row r="80" spans="1:10" x14ac:dyDescent="0.35">
      <c r="A80">
        <v>59</v>
      </c>
      <c r="B80">
        <v>0.04</v>
      </c>
      <c r="C80">
        <v>3.3333299999999998E-3</v>
      </c>
      <c r="D80">
        <v>1909.66</v>
      </c>
      <c r="E80">
        <v>100</v>
      </c>
      <c r="F80">
        <v>2009.66</v>
      </c>
      <c r="G80">
        <v>1210.6300000000001</v>
      </c>
      <c r="H80">
        <v>699.03</v>
      </c>
      <c r="I80">
        <v>362491.41</v>
      </c>
      <c r="J80">
        <v>-2009.66</v>
      </c>
    </row>
    <row r="81" spans="1:11" x14ac:dyDescent="0.35">
      <c r="A81">
        <v>60</v>
      </c>
      <c r="B81">
        <v>0.04</v>
      </c>
      <c r="C81">
        <v>3.3333299999999998E-3</v>
      </c>
      <c r="D81">
        <v>1909.66</v>
      </c>
      <c r="E81">
        <v>100</v>
      </c>
      <c r="F81">
        <v>2009.66</v>
      </c>
      <c r="G81">
        <v>1208.3</v>
      </c>
      <c r="H81">
        <v>701.36</v>
      </c>
      <c r="I81">
        <v>361790.05</v>
      </c>
      <c r="J81">
        <v>-2009.66</v>
      </c>
    </row>
    <row r="82" spans="1:11" x14ac:dyDescent="0.35">
      <c r="A82">
        <v>61</v>
      </c>
      <c r="B82">
        <v>0.06</v>
      </c>
      <c r="C82">
        <v>5.0000000000000001E-3</v>
      </c>
      <c r="D82">
        <v>2331.02</v>
      </c>
      <c r="E82">
        <v>100</v>
      </c>
      <c r="F82">
        <v>2431.02</v>
      </c>
      <c r="G82">
        <v>1808.95</v>
      </c>
      <c r="H82">
        <v>522.07000000000005</v>
      </c>
      <c r="I82">
        <v>361267.98</v>
      </c>
      <c r="J82">
        <v>-2431.02</v>
      </c>
      <c r="K82" s="9"/>
    </row>
    <row r="83" spans="1:11" x14ac:dyDescent="0.35">
      <c r="A83">
        <v>62</v>
      </c>
      <c r="B83">
        <v>0.06</v>
      </c>
      <c r="C83">
        <v>5.0000000000000001E-3</v>
      </c>
      <c r="D83">
        <v>2331.02</v>
      </c>
      <c r="E83">
        <v>100</v>
      </c>
      <c r="F83">
        <v>2431.02</v>
      </c>
      <c r="G83">
        <v>1806.34</v>
      </c>
      <c r="H83">
        <v>524.67999999999995</v>
      </c>
      <c r="I83">
        <v>360743.31</v>
      </c>
      <c r="J83">
        <v>-2431.02</v>
      </c>
    </row>
    <row r="84" spans="1:11" x14ac:dyDescent="0.35">
      <c r="A84">
        <v>63</v>
      </c>
      <c r="B84">
        <v>0.06</v>
      </c>
      <c r="C84">
        <v>5.0000000000000001E-3</v>
      </c>
      <c r="D84">
        <v>2331.02</v>
      </c>
      <c r="E84">
        <v>100</v>
      </c>
      <c r="F84">
        <v>2431.02</v>
      </c>
      <c r="G84">
        <v>1803.72</v>
      </c>
      <c r="H84">
        <v>527.29999999999995</v>
      </c>
      <c r="I84">
        <v>360216</v>
      </c>
      <c r="J84">
        <v>-2431.02</v>
      </c>
    </row>
    <row r="85" spans="1:11" x14ac:dyDescent="0.35">
      <c r="A85">
        <v>64</v>
      </c>
      <c r="B85">
        <v>0.06</v>
      </c>
      <c r="C85">
        <v>5.0000000000000001E-3</v>
      </c>
      <c r="D85">
        <v>2331.02</v>
      </c>
      <c r="E85">
        <v>100</v>
      </c>
      <c r="F85">
        <v>2431.02</v>
      </c>
      <c r="G85">
        <v>1801.08</v>
      </c>
      <c r="H85">
        <v>529.94000000000005</v>
      </c>
      <c r="I85">
        <v>359686.07</v>
      </c>
      <c r="J85">
        <v>-2431.02</v>
      </c>
    </row>
    <row r="86" spans="1:11" x14ac:dyDescent="0.35">
      <c r="A86">
        <v>65</v>
      </c>
      <c r="B86">
        <v>0.06</v>
      </c>
      <c r="C86">
        <v>5.0000000000000001E-3</v>
      </c>
      <c r="D86">
        <v>2331.02</v>
      </c>
      <c r="E86">
        <v>100</v>
      </c>
      <c r="F86">
        <v>2431.02</v>
      </c>
      <c r="G86">
        <v>1798.43</v>
      </c>
      <c r="H86">
        <v>532.59</v>
      </c>
      <c r="I86">
        <v>359153.48</v>
      </c>
      <c r="J86">
        <v>-2431.02</v>
      </c>
    </row>
    <row r="87" spans="1:11" x14ac:dyDescent="0.35">
      <c r="A87">
        <v>66</v>
      </c>
      <c r="B87">
        <v>0.06</v>
      </c>
      <c r="C87">
        <v>5.0000000000000001E-3</v>
      </c>
      <c r="D87">
        <v>2331.02</v>
      </c>
      <c r="E87">
        <v>0</v>
      </c>
      <c r="F87">
        <v>2331.02</v>
      </c>
      <c r="G87">
        <v>1795.77</v>
      </c>
      <c r="H87">
        <v>535.25</v>
      </c>
      <c r="I87">
        <v>358618.23</v>
      </c>
      <c r="J87">
        <v>-2331.02</v>
      </c>
    </row>
    <row r="88" spans="1:11" x14ac:dyDescent="0.35">
      <c r="A88">
        <v>67</v>
      </c>
      <c r="B88">
        <v>7.7499999999999999E-2</v>
      </c>
      <c r="C88">
        <v>6.45833E-3</v>
      </c>
      <c r="D88">
        <v>2726.95</v>
      </c>
      <c r="E88">
        <v>0</v>
      </c>
      <c r="F88">
        <v>2726.95</v>
      </c>
      <c r="G88">
        <v>2316.08</v>
      </c>
      <c r="H88">
        <v>410.88</v>
      </c>
      <c r="I88">
        <v>358207.35</v>
      </c>
      <c r="J88">
        <v>-2726.95</v>
      </c>
    </row>
    <row r="89" spans="1:11" x14ac:dyDescent="0.35">
      <c r="A89">
        <v>68</v>
      </c>
      <c r="B89">
        <v>7.7499999999999999E-2</v>
      </c>
      <c r="C89">
        <v>6.45833E-3</v>
      </c>
      <c r="D89">
        <v>2726.95</v>
      </c>
      <c r="E89">
        <v>0</v>
      </c>
      <c r="F89">
        <v>2726.95</v>
      </c>
      <c r="G89">
        <v>2313.42</v>
      </c>
      <c r="H89">
        <v>413.53</v>
      </c>
      <c r="I89">
        <v>357793.82</v>
      </c>
      <c r="J89">
        <v>-2726.95</v>
      </c>
    </row>
    <row r="90" spans="1:11" x14ac:dyDescent="0.35">
      <c r="A90">
        <v>69</v>
      </c>
      <c r="B90">
        <v>7.7499999999999999E-2</v>
      </c>
      <c r="C90">
        <v>6.45833E-3</v>
      </c>
      <c r="D90">
        <v>2726.95</v>
      </c>
      <c r="E90">
        <v>0</v>
      </c>
      <c r="F90">
        <v>2726.95</v>
      </c>
      <c r="G90">
        <v>2310.75</v>
      </c>
      <c r="H90">
        <v>416.2</v>
      </c>
      <c r="I90">
        <v>357377.62</v>
      </c>
      <c r="J90">
        <v>-2726.95</v>
      </c>
    </row>
    <row r="91" spans="1:11" x14ac:dyDescent="0.35">
      <c r="A91">
        <v>70</v>
      </c>
      <c r="B91">
        <v>7.7499999999999999E-2</v>
      </c>
      <c r="C91">
        <v>6.45833E-3</v>
      </c>
      <c r="D91">
        <v>2726.95</v>
      </c>
      <c r="E91">
        <v>0</v>
      </c>
      <c r="F91">
        <v>2726.95</v>
      </c>
      <c r="G91">
        <v>2308.06</v>
      </c>
      <c r="H91">
        <v>418.89</v>
      </c>
      <c r="I91">
        <v>356958.73</v>
      </c>
      <c r="J91">
        <v>-2726.95</v>
      </c>
    </row>
    <row r="92" spans="1:11" x14ac:dyDescent="0.35">
      <c r="A92">
        <v>71</v>
      </c>
      <c r="B92">
        <v>7.7499999999999999E-2</v>
      </c>
      <c r="C92">
        <v>6.45833E-3</v>
      </c>
      <c r="D92">
        <v>2726.95</v>
      </c>
      <c r="E92">
        <v>0</v>
      </c>
      <c r="F92">
        <v>2726.95</v>
      </c>
      <c r="G92">
        <v>2305.36</v>
      </c>
      <c r="H92">
        <v>421.6</v>
      </c>
      <c r="I92">
        <v>356537.13</v>
      </c>
      <c r="J92">
        <v>-2726.95</v>
      </c>
    </row>
    <row r="93" spans="1:11" x14ac:dyDescent="0.35">
      <c r="A93">
        <v>72</v>
      </c>
      <c r="B93">
        <v>7.7499999999999999E-2</v>
      </c>
      <c r="C93">
        <v>6.45833E-3</v>
      </c>
      <c r="D93">
        <v>2726.95</v>
      </c>
      <c r="E93">
        <v>0</v>
      </c>
      <c r="F93">
        <v>2726.95</v>
      </c>
      <c r="G93">
        <v>2302.64</v>
      </c>
      <c r="H93">
        <v>424.32</v>
      </c>
      <c r="I93">
        <v>356112.81</v>
      </c>
      <c r="J93">
        <v>-2726.95</v>
      </c>
    </row>
    <row r="94" spans="1:11" x14ac:dyDescent="0.35">
      <c r="A94">
        <v>73</v>
      </c>
      <c r="B94">
        <v>7.7499999999999999E-2</v>
      </c>
      <c r="C94">
        <v>6.45833E-3</v>
      </c>
      <c r="D94">
        <v>2726.95</v>
      </c>
      <c r="E94">
        <v>0</v>
      </c>
      <c r="F94">
        <v>2726.95</v>
      </c>
      <c r="G94">
        <v>2299.9</v>
      </c>
      <c r="H94">
        <v>427.06</v>
      </c>
      <c r="I94">
        <v>355685.75</v>
      </c>
      <c r="J94">
        <v>-2726.95</v>
      </c>
    </row>
    <row r="95" spans="1:11" x14ac:dyDescent="0.35">
      <c r="A95">
        <v>74</v>
      </c>
      <c r="B95">
        <v>7.7499999999999999E-2</v>
      </c>
      <c r="C95">
        <v>6.45833E-3</v>
      </c>
      <c r="D95">
        <v>2726.95</v>
      </c>
      <c r="E95">
        <v>0</v>
      </c>
      <c r="F95">
        <v>2726.95</v>
      </c>
      <c r="G95">
        <v>2297.14</v>
      </c>
      <c r="H95">
        <v>429.82</v>
      </c>
      <c r="I95">
        <v>355255.94</v>
      </c>
      <c r="J95">
        <v>-2726.95</v>
      </c>
    </row>
    <row r="96" spans="1:11" x14ac:dyDescent="0.35">
      <c r="A96">
        <v>75</v>
      </c>
      <c r="B96">
        <v>7.7499999999999999E-2</v>
      </c>
      <c r="C96">
        <v>6.45833E-3</v>
      </c>
      <c r="D96">
        <v>2726.95</v>
      </c>
      <c r="E96">
        <v>0</v>
      </c>
      <c r="F96">
        <v>2726.95</v>
      </c>
      <c r="G96">
        <v>2294.36</v>
      </c>
      <c r="H96">
        <v>432.59</v>
      </c>
      <c r="I96">
        <v>354823.35</v>
      </c>
      <c r="J96">
        <v>-2726.95</v>
      </c>
    </row>
    <row r="97" spans="1:10" x14ac:dyDescent="0.35">
      <c r="A97">
        <v>76</v>
      </c>
      <c r="B97">
        <v>7.7499999999999999E-2</v>
      </c>
      <c r="C97">
        <v>6.45833E-3</v>
      </c>
      <c r="D97">
        <v>2726.95</v>
      </c>
      <c r="E97">
        <v>0</v>
      </c>
      <c r="F97">
        <v>2726.95</v>
      </c>
      <c r="G97">
        <v>2291.5700000000002</v>
      </c>
      <c r="H97">
        <v>435.39</v>
      </c>
      <c r="I97">
        <v>354387.96</v>
      </c>
      <c r="J97">
        <v>-2726.95</v>
      </c>
    </row>
    <row r="98" spans="1:10" x14ac:dyDescent="0.35">
      <c r="A98">
        <v>77</v>
      </c>
      <c r="B98">
        <v>7.7499999999999999E-2</v>
      </c>
      <c r="C98">
        <v>6.45833E-3</v>
      </c>
      <c r="D98">
        <v>2726.95</v>
      </c>
      <c r="E98">
        <v>0</v>
      </c>
      <c r="F98">
        <v>2726.95</v>
      </c>
      <c r="G98">
        <v>2288.7600000000002</v>
      </c>
      <c r="H98">
        <v>438.2</v>
      </c>
      <c r="I98">
        <v>353949.76</v>
      </c>
      <c r="J98">
        <v>-2726.95</v>
      </c>
    </row>
    <row r="99" spans="1:10" x14ac:dyDescent="0.35">
      <c r="A99">
        <v>78</v>
      </c>
      <c r="B99">
        <v>7.7499999999999999E-2</v>
      </c>
      <c r="C99">
        <v>6.45833E-3</v>
      </c>
      <c r="D99">
        <v>2726.95</v>
      </c>
      <c r="E99">
        <v>0</v>
      </c>
      <c r="F99">
        <v>2726.95</v>
      </c>
      <c r="G99">
        <v>2285.9299999999998</v>
      </c>
      <c r="H99">
        <v>441.03</v>
      </c>
      <c r="I99">
        <v>353508.73</v>
      </c>
      <c r="J99">
        <v>-2726.95</v>
      </c>
    </row>
    <row r="100" spans="1:10" x14ac:dyDescent="0.35">
      <c r="A100">
        <v>79</v>
      </c>
      <c r="B100">
        <v>7.7499999999999999E-2</v>
      </c>
      <c r="C100">
        <v>6.45833E-3</v>
      </c>
      <c r="D100">
        <v>2726.95</v>
      </c>
      <c r="E100">
        <v>0</v>
      </c>
      <c r="F100">
        <v>2726.95</v>
      </c>
      <c r="G100">
        <v>2283.08</v>
      </c>
      <c r="H100">
        <v>443.88</v>
      </c>
      <c r="I100">
        <v>353064.86</v>
      </c>
      <c r="J100">
        <v>-2726.95</v>
      </c>
    </row>
    <row r="101" spans="1:10" x14ac:dyDescent="0.35">
      <c r="A101">
        <v>80</v>
      </c>
      <c r="B101">
        <v>7.7499999999999999E-2</v>
      </c>
      <c r="C101">
        <v>6.45833E-3</v>
      </c>
      <c r="D101">
        <v>2726.95</v>
      </c>
      <c r="E101">
        <v>0</v>
      </c>
      <c r="F101">
        <v>2726.95</v>
      </c>
      <c r="G101">
        <v>2280.21</v>
      </c>
      <c r="H101">
        <v>446.74</v>
      </c>
      <c r="I101">
        <v>352618.11</v>
      </c>
      <c r="J101">
        <v>-2726.95</v>
      </c>
    </row>
    <row r="102" spans="1:10" x14ac:dyDescent="0.35">
      <c r="A102">
        <v>81</v>
      </c>
      <c r="B102">
        <v>7.7499999999999999E-2</v>
      </c>
      <c r="C102">
        <v>6.45833E-3</v>
      </c>
      <c r="D102">
        <v>2726.95</v>
      </c>
      <c r="E102">
        <v>0</v>
      </c>
      <c r="F102">
        <v>2726.95</v>
      </c>
      <c r="G102">
        <v>2277.33</v>
      </c>
      <c r="H102">
        <v>449.63</v>
      </c>
      <c r="I102">
        <v>352168.48</v>
      </c>
      <c r="J102">
        <v>-2726.95</v>
      </c>
    </row>
    <row r="103" spans="1:10" x14ac:dyDescent="0.35">
      <c r="A103">
        <v>82</v>
      </c>
      <c r="B103">
        <v>7.7499999999999999E-2</v>
      </c>
      <c r="C103">
        <v>6.45833E-3</v>
      </c>
      <c r="D103">
        <v>2726.95</v>
      </c>
      <c r="E103">
        <v>0</v>
      </c>
      <c r="F103">
        <v>2726.95</v>
      </c>
      <c r="G103">
        <v>2274.42</v>
      </c>
      <c r="H103">
        <v>452.53</v>
      </c>
      <c r="I103">
        <v>351715.95</v>
      </c>
      <c r="J103">
        <v>-2726.95</v>
      </c>
    </row>
    <row r="104" spans="1:10" x14ac:dyDescent="0.35">
      <c r="A104">
        <v>83</v>
      </c>
      <c r="B104">
        <v>7.7499999999999999E-2</v>
      </c>
      <c r="C104">
        <v>6.45833E-3</v>
      </c>
      <c r="D104">
        <v>2726.95</v>
      </c>
      <c r="E104">
        <v>0</v>
      </c>
      <c r="F104">
        <v>2726.95</v>
      </c>
      <c r="G104">
        <v>2271.5</v>
      </c>
      <c r="H104">
        <v>455.45</v>
      </c>
      <c r="I104">
        <v>351260.5</v>
      </c>
      <c r="J104">
        <v>-2726.95</v>
      </c>
    </row>
    <row r="105" spans="1:10" x14ac:dyDescent="0.35">
      <c r="A105">
        <v>84</v>
      </c>
      <c r="B105">
        <v>7.7499999999999999E-2</v>
      </c>
      <c r="C105">
        <v>6.45833E-3</v>
      </c>
      <c r="D105">
        <v>2726.95</v>
      </c>
      <c r="E105">
        <v>0</v>
      </c>
      <c r="F105">
        <v>2726.95</v>
      </c>
      <c r="G105">
        <v>2268.56</v>
      </c>
      <c r="H105">
        <v>458.4</v>
      </c>
      <c r="I105">
        <v>350802.1</v>
      </c>
      <c r="J105">
        <v>-2726.95</v>
      </c>
    </row>
    <row r="106" spans="1:10" x14ac:dyDescent="0.35">
      <c r="A106">
        <v>85</v>
      </c>
      <c r="B106">
        <v>7.7499999999999999E-2</v>
      </c>
      <c r="C106">
        <v>6.45833E-3</v>
      </c>
      <c r="D106">
        <v>2726.95</v>
      </c>
      <c r="E106">
        <v>0</v>
      </c>
      <c r="F106">
        <v>2726.95</v>
      </c>
      <c r="G106">
        <v>2265.6</v>
      </c>
      <c r="H106">
        <v>461.36</v>
      </c>
      <c r="I106">
        <v>350340.74</v>
      </c>
      <c r="J106">
        <v>-2726.95</v>
      </c>
    </row>
    <row r="107" spans="1:10" x14ac:dyDescent="0.35">
      <c r="A107">
        <v>86</v>
      </c>
      <c r="B107">
        <v>7.7499999999999999E-2</v>
      </c>
      <c r="C107">
        <v>6.45833E-3</v>
      </c>
      <c r="D107">
        <v>2726.95</v>
      </c>
      <c r="E107">
        <v>0</v>
      </c>
      <c r="F107">
        <v>2726.95</v>
      </c>
      <c r="G107">
        <v>2262.62</v>
      </c>
      <c r="H107">
        <v>464.34</v>
      </c>
      <c r="I107">
        <v>349876.41</v>
      </c>
      <c r="J107">
        <v>-2726.95</v>
      </c>
    </row>
    <row r="108" spans="1:10" x14ac:dyDescent="0.35">
      <c r="A108">
        <v>87</v>
      </c>
      <c r="B108">
        <v>7.7499999999999999E-2</v>
      </c>
      <c r="C108">
        <v>6.45833E-3</v>
      </c>
      <c r="D108">
        <v>2726.95</v>
      </c>
      <c r="E108">
        <v>0</v>
      </c>
      <c r="F108">
        <v>2726.95</v>
      </c>
      <c r="G108">
        <v>2259.62</v>
      </c>
      <c r="H108">
        <v>467.34</v>
      </c>
      <c r="I108">
        <v>349409.07</v>
      </c>
      <c r="J108">
        <v>-2726.95</v>
      </c>
    </row>
    <row r="109" spans="1:10" x14ac:dyDescent="0.35">
      <c r="A109">
        <v>88</v>
      </c>
      <c r="B109">
        <v>7.7499999999999999E-2</v>
      </c>
      <c r="C109">
        <v>6.45833E-3</v>
      </c>
      <c r="D109">
        <v>2726.95</v>
      </c>
      <c r="E109">
        <v>0</v>
      </c>
      <c r="F109">
        <v>2726.95</v>
      </c>
      <c r="G109">
        <v>2256.6</v>
      </c>
      <c r="H109">
        <v>470.35</v>
      </c>
      <c r="I109">
        <v>348938.72</v>
      </c>
      <c r="J109">
        <v>-2726.95</v>
      </c>
    </row>
    <row r="110" spans="1:10" x14ac:dyDescent="0.35">
      <c r="A110">
        <v>89</v>
      </c>
      <c r="B110">
        <v>7.7499999999999999E-2</v>
      </c>
      <c r="C110">
        <v>6.45833E-3</v>
      </c>
      <c r="D110">
        <v>2726.95</v>
      </c>
      <c r="E110">
        <v>0</v>
      </c>
      <c r="F110">
        <v>2726.95</v>
      </c>
      <c r="G110">
        <v>2253.56</v>
      </c>
      <c r="H110">
        <v>473.39</v>
      </c>
      <c r="I110">
        <v>348465.33</v>
      </c>
      <c r="J110">
        <v>-2726.95</v>
      </c>
    </row>
    <row r="111" spans="1:10" x14ac:dyDescent="0.35">
      <c r="A111">
        <v>90</v>
      </c>
      <c r="B111">
        <v>7.7499999999999999E-2</v>
      </c>
      <c r="C111">
        <v>6.45833E-3</v>
      </c>
      <c r="D111">
        <v>2726.95</v>
      </c>
      <c r="E111">
        <v>0</v>
      </c>
      <c r="F111">
        <v>2726.95</v>
      </c>
      <c r="G111">
        <v>2250.5100000000002</v>
      </c>
      <c r="H111">
        <v>476.45</v>
      </c>
      <c r="I111">
        <v>347988.88</v>
      </c>
      <c r="J111">
        <v>-2726.95</v>
      </c>
    </row>
    <row r="112" spans="1:10" x14ac:dyDescent="0.35">
      <c r="A112">
        <v>91</v>
      </c>
      <c r="B112">
        <v>7.7499999999999999E-2</v>
      </c>
      <c r="C112">
        <v>6.45833E-3</v>
      </c>
      <c r="D112">
        <v>2726.95</v>
      </c>
      <c r="E112">
        <v>0</v>
      </c>
      <c r="F112">
        <v>2726.95</v>
      </c>
      <c r="G112">
        <v>2247.4299999999998</v>
      </c>
      <c r="H112">
        <v>479.53</v>
      </c>
      <c r="I112">
        <v>347509.35</v>
      </c>
      <c r="J112">
        <v>-2726.95</v>
      </c>
    </row>
    <row r="113" spans="1:10" x14ac:dyDescent="0.35">
      <c r="A113">
        <v>92</v>
      </c>
      <c r="B113">
        <v>7.7499999999999999E-2</v>
      </c>
      <c r="C113">
        <v>6.45833E-3</v>
      </c>
      <c r="D113">
        <v>2726.95</v>
      </c>
      <c r="E113">
        <v>0</v>
      </c>
      <c r="F113">
        <v>2726.95</v>
      </c>
      <c r="G113">
        <v>2244.33</v>
      </c>
      <c r="H113">
        <v>482.62</v>
      </c>
      <c r="I113">
        <v>347026.73</v>
      </c>
      <c r="J113">
        <v>-2726.95</v>
      </c>
    </row>
    <row r="114" spans="1:10" x14ac:dyDescent="0.35">
      <c r="A114">
        <v>93</v>
      </c>
      <c r="B114">
        <v>7.7499999999999999E-2</v>
      </c>
      <c r="C114">
        <v>6.45833E-3</v>
      </c>
      <c r="D114">
        <v>2726.95</v>
      </c>
      <c r="E114">
        <v>0</v>
      </c>
      <c r="F114">
        <v>2726.95</v>
      </c>
      <c r="G114">
        <v>2241.21</v>
      </c>
      <c r="H114">
        <v>485.74</v>
      </c>
      <c r="I114">
        <v>346540.99</v>
      </c>
      <c r="J114">
        <v>-2726.95</v>
      </c>
    </row>
    <row r="115" spans="1:10" x14ac:dyDescent="0.35">
      <c r="A115">
        <v>94</v>
      </c>
      <c r="B115">
        <v>7.7499999999999999E-2</v>
      </c>
      <c r="C115">
        <v>6.45833E-3</v>
      </c>
      <c r="D115">
        <v>2726.95</v>
      </c>
      <c r="E115">
        <v>0</v>
      </c>
      <c r="F115">
        <v>2726.95</v>
      </c>
      <c r="G115">
        <v>2238.08</v>
      </c>
      <c r="H115">
        <v>488.88</v>
      </c>
      <c r="I115">
        <v>346052.12</v>
      </c>
      <c r="J115">
        <v>-2726.95</v>
      </c>
    </row>
    <row r="116" spans="1:10" x14ac:dyDescent="0.35">
      <c r="A116">
        <v>95</v>
      </c>
      <c r="B116">
        <v>7.7499999999999999E-2</v>
      </c>
      <c r="C116">
        <v>6.45833E-3</v>
      </c>
      <c r="D116">
        <v>2726.95</v>
      </c>
      <c r="E116">
        <v>0</v>
      </c>
      <c r="F116">
        <v>2726.95</v>
      </c>
      <c r="G116">
        <v>2234.92</v>
      </c>
      <c r="H116">
        <v>492.03</v>
      </c>
      <c r="I116">
        <v>345560.08</v>
      </c>
      <c r="J116">
        <v>-2726.95</v>
      </c>
    </row>
    <row r="117" spans="1:10" x14ac:dyDescent="0.35">
      <c r="A117">
        <v>96</v>
      </c>
      <c r="B117">
        <v>7.7499999999999999E-2</v>
      </c>
      <c r="C117">
        <v>6.45833E-3</v>
      </c>
      <c r="D117">
        <v>2726.95</v>
      </c>
      <c r="E117">
        <v>0</v>
      </c>
      <c r="F117">
        <v>2726.95</v>
      </c>
      <c r="G117">
        <v>2231.7399999999998</v>
      </c>
      <c r="H117">
        <v>495.21</v>
      </c>
      <c r="I117">
        <v>345064.87</v>
      </c>
      <c r="J117">
        <v>-2726.95</v>
      </c>
    </row>
    <row r="118" spans="1:10" x14ac:dyDescent="0.35">
      <c r="A118">
        <v>97</v>
      </c>
      <c r="B118">
        <v>7.7499999999999999E-2</v>
      </c>
      <c r="C118">
        <v>6.45833E-3</v>
      </c>
      <c r="D118">
        <v>2726.95</v>
      </c>
      <c r="E118">
        <v>0</v>
      </c>
      <c r="F118">
        <v>2726.95</v>
      </c>
      <c r="G118">
        <v>2228.54</v>
      </c>
      <c r="H118">
        <v>498.41</v>
      </c>
      <c r="I118">
        <v>344566.46</v>
      </c>
      <c r="J118">
        <v>-2726.95</v>
      </c>
    </row>
    <row r="119" spans="1:10" x14ac:dyDescent="0.35">
      <c r="A119">
        <v>98</v>
      </c>
      <c r="B119">
        <v>7.7499999999999999E-2</v>
      </c>
      <c r="C119">
        <v>6.45833E-3</v>
      </c>
      <c r="D119">
        <v>2726.95</v>
      </c>
      <c r="E119">
        <v>0</v>
      </c>
      <c r="F119">
        <v>2726.95</v>
      </c>
      <c r="G119">
        <v>2225.33</v>
      </c>
      <c r="H119">
        <v>501.63</v>
      </c>
      <c r="I119">
        <v>344064.83</v>
      </c>
      <c r="J119">
        <v>-2726.95</v>
      </c>
    </row>
    <row r="120" spans="1:10" x14ac:dyDescent="0.35">
      <c r="A120">
        <v>99</v>
      </c>
      <c r="B120">
        <v>7.7499999999999999E-2</v>
      </c>
      <c r="C120">
        <v>6.45833E-3</v>
      </c>
      <c r="D120">
        <v>2726.95</v>
      </c>
      <c r="E120">
        <v>0</v>
      </c>
      <c r="F120">
        <v>2726.95</v>
      </c>
      <c r="G120">
        <v>2222.09</v>
      </c>
      <c r="H120">
        <v>504.87</v>
      </c>
      <c r="I120">
        <v>343559.96</v>
      </c>
      <c r="J120">
        <v>-2726.95</v>
      </c>
    </row>
    <row r="121" spans="1:10" x14ac:dyDescent="0.35">
      <c r="A121">
        <v>100</v>
      </c>
      <c r="B121">
        <v>7.7499999999999999E-2</v>
      </c>
      <c r="C121">
        <v>6.45833E-3</v>
      </c>
      <c r="D121">
        <v>2726.95</v>
      </c>
      <c r="E121">
        <v>0</v>
      </c>
      <c r="F121">
        <v>2726.95</v>
      </c>
      <c r="G121">
        <v>2218.8200000000002</v>
      </c>
      <c r="H121">
        <v>508.13</v>
      </c>
      <c r="I121">
        <v>343051.83</v>
      </c>
      <c r="J121">
        <v>-2726.95</v>
      </c>
    </row>
    <row r="122" spans="1:10" x14ac:dyDescent="0.35">
      <c r="A122">
        <v>101</v>
      </c>
      <c r="B122">
        <v>7.7499999999999999E-2</v>
      </c>
      <c r="C122">
        <v>6.45833E-3</v>
      </c>
      <c r="D122">
        <v>2726.95</v>
      </c>
      <c r="E122">
        <v>0</v>
      </c>
      <c r="F122">
        <v>2726.95</v>
      </c>
      <c r="G122">
        <v>2215.54</v>
      </c>
      <c r="H122">
        <v>511.41</v>
      </c>
      <c r="I122">
        <v>342540.42</v>
      </c>
      <c r="J122">
        <v>-2726.95</v>
      </c>
    </row>
    <row r="123" spans="1:10" x14ac:dyDescent="0.35">
      <c r="A123">
        <v>102</v>
      </c>
      <c r="B123">
        <v>7.7499999999999999E-2</v>
      </c>
      <c r="C123">
        <v>6.45833E-3</v>
      </c>
      <c r="D123">
        <v>2726.95</v>
      </c>
      <c r="E123">
        <v>0</v>
      </c>
      <c r="F123">
        <v>2726.95</v>
      </c>
      <c r="G123">
        <v>2212.2399999999998</v>
      </c>
      <c r="H123">
        <v>514.71</v>
      </c>
      <c r="I123">
        <v>342025.71</v>
      </c>
      <c r="J123">
        <v>-2726.95</v>
      </c>
    </row>
    <row r="124" spans="1:10" x14ac:dyDescent="0.35">
      <c r="A124">
        <v>103</v>
      </c>
      <c r="B124">
        <v>7.7499999999999999E-2</v>
      </c>
      <c r="C124">
        <v>6.45833E-3</v>
      </c>
      <c r="D124">
        <v>2726.95</v>
      </c>
      <c r="E124">
        <v>0</v>
      </c>
      <c r="F124">
        <v>2726.95</v>
      </c>
      <c r="G124">
        <v>2208.92</v>
      </c>
      <c r="H124">
        <v>518.04</v>
      </c>
      <c r="I124">
        <v>341507.67</v>
      </c>
      <c r="J124">
        <v>-2726.95</v>
      </c>
    </row>
    <row r="125" spans="1:10" x14ac:dyDescent="0.35">
      <c r="A125">
        <v>104</v>
      </c>
      <c r="B125">
        <v>7.7499999999999999E-2</v>
      </c>
      <c r="C125">
        <v>6.45833E-3</v>
      </c>
      <c r="D125">
        <v>2726.95</v>
      </c>
      <c r="E125">
        <v>0</v>
      </c>
      <c r="F125">
        <v>2726.95</v>
      </c>
      <c r="G125">
        <v>2205.5700000000002</v>
      </c>
      <c r="H125">
        <v>521.38</v>
      </c>
      <c r="I125">
        <v>340986.29</v>
      </c>
      <c r="J125">
        <v>-2726.95</v>
      </c>
    </row>
    <row r="126" spans="1:10" x14ac:dyDescent="0.35">
      <c r="A126">
        <v>105</v>
      </c>
      <c r="B126">
        <v>7.7499999999999999E-2</v>
      </c>
      <c r="C126">
        <v>6.45833E-3</v>
      </c>
      <c r="D126">
        <v>2726.95</v>
      </c>
      <c r="E126">
        <v>0</v>
      </c>
      <c r="F126">
        <v>2726.95</v>
      </c>
      <c r="G126">
        <v>2202.1999999999998</v>
      </c>
      <c r="H126">
        <v>524.75</v>
      </c>
      <c r="I126">
        <v>340461.54</v>
      </c>
      <c r="J126">
        <v>-2726.95</v>
      </c>
    </row>
    <row r="127" spans="1:10" x14ac:dyDescent="0.35">
      <c r="A127">
        <v>106</v>
      </c>
      <c r="B127">
        <v>7.7499999999999999E-2</v>
      </c>
      <c r="C127">
        <v>6.45833E-3</v>
      </c>
      <c r="D127">
        <v>2726.95</v>
      </c>
      <c r="E127">
        <v>0</v>
      </c>
      <c r="F127">
        <v>2726.95</v>
      </c>
      <c r="G127">
        <v>2198.81</v>
      </c>
      <c r="H127">
        <v>528.14</v>
      </c>
      <c r="I127">
        <v>339933.4</v>
      </c>
      <c r="J127">
        <v>-2726.95</v>
      </c>
    </row>
    <row r="128" spans="1:10" x14ac:dyDescent="0.35">
      <c r="A128">
        <v>107</v>
      </c>
      <c r="B128">
        <v>7.7499999999999999E-2</v>
      </c>
      <c r="C128">
        <v>6.45833E-3</v>
      </c>
      <c r="D128">
        <v>2726.95</v>
      </c>
      <c r="E128">
        <v>0</v>
      </c>
      <c r="F128">
        <v>2726.95</v>
      </c>
      <c r="G128">
        <v>2195.4</v>
      </c>
      <c r="H128">
        <v>531.54999999999995</v>
      </c>
      <c r="I128">
        <v>339401.85</v>
      </c>
      <c r="J128">
        <v>-2726.95</v>
      </c>
    </row>
    <row r="129" spans="1:10" x14ac:dyDescent="0.35">
      <c r="A129">
        <v>108</v>
      </c>
      <c r="B129">
        <v>7.7499999999999999E-2</v>
      </c>
      <c r="C129">
        <v>6.45833E-3</v>
      </c>
      <c r="D129">
        <v>2726.95</v>
      </c>
      <c r="E129">
        <v>0</v>
      </c>
      <c r="F129">
        <v>2726.95</v>
      </c>
      <c r="G129">
        <v>2191.9699999999998</v>
      </c>
      <c r="H129">
        <v>534.98</v>
      </c>
      <c r="I129">
        <v>338866.87</v>
      </c>
      <c r="J129">
        <v>-2726.95</v>
      </c>
    </row>
    <row r="130" spans="1:10" x14ac:dyDescent="0.35">
      <c r="A130">
        <v>109</v>
      </c>
      <c r="B130">
        <v>7.7499999999999999E-2</v>
      </c>
      <c r="C130">
        <v>6.45833E-3</v>
      </c>
      <c r="D130">
        <v>2726.95</v>
      </c>
      <c r="E130">
        <v>0</v>
      </c>
      <c r="F130">
        <v>2726.95</v>
      </c>
      <c r="G130">
        <v>2188.52</v>
      </c>
      <c r="H130">
        <v>538.44000000000005</v>
      </c>
      <c r="I130">
        <v>338328.43</v>
      </c>
      <c r="J130">
        <v>-2726.95</v>
      </c>
    </row>
    <row r="131" spans="1:10" x14ac:dyDescent="0.35">
      <c r="A131">
        <v>110</v>
      </c>
      <c r="B131">
        <v>7.7499999999999999E-2</v>
      </c>
      <c r="C131">
        <v>6.45833E-3</v>
      </c>
      <c r="D131">
        <v>2726.95</v>
      </c>
      <c r="E131">
        <v>0</v>
      </c>
      <c r="F131">
        <v>2726.95</v>
      </c>
      <c r="G131">
        <v>2185.04</v>
      </c>
      <c r="H131">
        <v>541.91999999999996</v>
      </c>
      <c r="I131">
        <v>337786.51</v>
      </c>
      <c r="J131">
        <v>-2726.95</v>
      </c>
    </row>
    <row r="132" spans="1:10" x14ac:dyDescent="0.35">
      <c r="A132">
        <v>111</v>
      </c>
      <c r="B132">
        <v>7.7499999999999999E-2</v>
      </c>
      <c r="C132">
        <v>6.45833E-3</v>
      </c>
      <c r="D132">
        <v>2726.95</v>
      </c>
      <c r="E132">
        <v>0</v>
      </c>
      <c r="F132">
        <v>2726.95</v>
      </c>
      <c r="G132">
        <v>2181.54</v>
      </c>
      <c r="H132">
        <v>545.41999999999996</v>
      </c>
      <c r="I132">
        <v>337241.09</v>
      </c>
      <c r="J132">
        <v>-2726.95</v>
      </c>
    </row>
    <row r="133" spans="1:10" x14ac:dyDescent="0.35">
      <c r="A133">
        <v>112</v>
      </c>
      <c r="B133">
        <v>7.7499999999999999E-2</v>
      </c>
      <c r="C133">
        <v>6.45833E-3</v>
      </c>
      <c r="D133">
        <v>2726.95</v>
      </c>
      <c r="E133">
        <v>0</v>
      </c>
      <c r="F133">
        <v>2726.95</v>
      </c>
      <c r="G133">
        <v>2178.02</v>
      </c>
      <c r="H133">
        <v>548.94000000000005</v>
      </c>
      <c r="I133">
        <v>336692.16</v>
      </c>
      <c r="J133">
        <v>-2726.95</v>
      </c>
    </row>
    <row r="134" spans="1:10" x14ac:dyDescent="0.35">
      <c r="A134">
        <v>113</v>
      </c>
      <c r="B134">
        <v>7.7499999999999999E-2</v>
      </c>
      <c r="C134">
        <v>6.45833E-3</v>
      </c>
      <c r="D134">
        <v>2726.95</v>
      </c>
      <c r="E134">
        <v>0</v>
      </c>
      <c r="F134">
        <v>2726.95</v>
      </c>
      <c r="G134">
        <v>2174.4699999999998</v>
      </c>
      <c r="H134">
        <v>552.48</v>
      </c>
      <c r="I134">
        <v>336139.67</v>
      </c>
      <c r="J134">
        <v>-2726.95</v>
      </c>
    </row>
    <row r="135" spans="1:10" x14ac:dyDescent="0.35">
      <c r="A135">
        <v>114</v>
      </c>
      <c r="B135">
        <v>7.7499999999999999E-2</v>
      </c>
      <c r="C135">
        <v>6.45833E-3</v>
      </c>
      <c r="D135">
        <v>2726.95</v>
      </c>
      <c r="E135">
        <v>0</v>
      </c>
      <c r="F135">
        <v>2726.95</v>
      </c>
      <c r="G135">
        <v>2170.9</v>
      </c>
      <c r="H135">
        <v>556.04999999999995</v>
      </c>
      <c r="I135">
        <v>335583.62</v>
      </c>
      <c r="J135">
        <v>-2726.95</v>
      </c>
    </row>
    <row r="136" spans="1:10" x14ac:dyDescent="0.35">
      <c r="A136">
        <v>115</v>
      </c>
      <c r="B136">
        <v>7.7499999999999999E-2</v>
      </c>
      <c r="C136">
        <v>6.45833E-3</v>
      </c>
      <c r="D136">
        <v>2726.95</v>
      </c>
      <c r="E136">
        <v>0</v>
      </c>
      <c r="F136">
        <v>2726.95</v>
      </c>
      <c r="G136">
        <v>2167.31</v>
      </c>
      <c r="H136">
        <v>559.64</v>
      </c>
      <c r="I136">
        <v>335023.98</v>
      </c>
      <c r="J136">
        <v>-2726.95</v>
      </c>
    </row>
    <row r="137" spans="1:10" x14ac:dyDescent="0.35">
      <c r="A137">
        <v>116</v>
      </c>
      <c r="B137">
        <v>7.7499999999999999E-2</v>
      </c>
      <c r="C137">
        <v>6.45833E-3</v>
      </c>
      <c r="D137">
        <v>2726.95</v>
      </c>
      <c r="E137">
        <v>0</v>
      </c>
      <c r="F137">
        <v>2726.95</v>
      </c>
      <c r="G137">
        <v>2163.6999999999998</v>
      </c>
      <c r="H137">
        <v>563.26</v>
      </c>
      <c r="I137">
        <v>334460.71999999997</v>
      </c>
      <c r="J137">
        <v>-2726.95</v>
      </c>
    </row>
    <row r="138" spans="1:10" x14ac:dyDescent="0.35">
      <c r="A138">
        <v>117</v>
      </c>
      <c r="B138">
        <v>7.7499999999999999E-2</v>
      </c>
      <c r="C138">
        <v>6.45833E-3</v>
      </c>
      <c r="D138">
        <v>2726.95</v>
      </c>
      <c r="E138">
        <v>0</v>
      </c>
      <c r="F138">
        <v>2726.95</v>
      </c>
      <c r="G138">
        <v>2160.06</v>
      </c>
      <c r="H138">
        <v>566.89</v>
      </c>
      <c r="I138">
        <v>333893.83</v>
      </c>
      <c r="J138">
        <v>-2726.95</v>
      </c>
    </row>
    <row r="139" spans="1:10" x14ac:dyDescent="0.35">
      <c r="A139">
        <v>118</v>
      </c>
      <c r="B139">
        <v>7.7499999999999999E-2</v>
      </c>
      <c r="C139">
        <v>6.45833E-3</v>
      </c>
      <c r="D139">
        <v>2726.95</v>
      </c>
      <c r="E139">
        <v>0</v>
      </c>
      <c r="F139">
        <v>2726.95</v>
      </c>
      <c r="G139">
        <v>2156.4</v>
      </c>
      <c r="H139">
        <v>570.55999999999995</v>
      </c>
      <c r="I139">
        <v>333323.27</v>
      </c>
      <c r="J139">
        <v>-2726.95</v>
      </c>
    </row>
    <row r="140" spans="1:10" x14ac:dyDescent="0.35">
      <c r="A140">
        <v>119</v>
      </c>
      <c r="B140">
        <v>7.7499999999999999E-2</v>
      </c>
      <c r="C140">
        <v>6.45833E-3</v>
      </c>
      <c r="D140">
        <v>2726.95</v>
      </c>
      <c r="E140">
        <v>0</v>
      </c>
      <c r="F140">
        <v>2726.95</v>
      </c>
      <c r="G140">
        <v>2152.71</v>
      </c>
      <c r="H140">
        <v>574.24</v>
      </c>
      <c r="I140">
        <v>332749.03000000003</v>
      </c>
      <c r="J140">
        <v>-2726.95</v>
      </c>
    </row>
    <row r="141" spans="1:10" x14ac:dyDescent="0.35">
      <c r="A141">
        <v>120</v>
      </c>
      <c r="B141">
        <v>7.7499999999999999E-2</v>
      </c>
      <c r="C141">
        <v>6.45833E-3</v>
      </c>
      <c r="D141">
        <v>2726.95</v>
      </c>
      <c r="E141">
        <v>0</v>
      </c>
      <c r="F141">
        <v>2726.95</v>
      </c>
      <c r="G141">
        <v>2149</v>
      </c>
      <c r="H141">
        <v>577.95000000000005</v>
      </c>
      <c r="I141">
        <v>332171.08</v>
      </c>
      <c r="J141">
        <v>-2726.95</v>
      </c>
    </row>
    <row r="142" spans="1:10" x14ac:dyDescent="0.35">
      <c r="A142">
        <v>121</v>
      </c>
      <c r="B142">
        <v>7.7499999999999999E-2</v>
      </c>
      <c r="C142">
        <v>6.45833E-3</v>
      </c>
      <c r="D142">
        <v>2726.95</v>
      </c>
      <c r="E142">
        <v>0</v>
      </c>
      <c r="F142">
        <v>2726.95</v>
      </c>
      <c r="G142">
        <v>2145.27</v>
      </c>
      <c r="H142">
        <v>581.67999999999995</v>
      </c>
      <c r="I142">
        <v>331589.40000000002</v>
      </c>
      <c r="J142">
        <v>-2726.95</v>
      </c>
    </row>
    <row r="143" spans="1:10" x14ac:dyDescent="0.35">
      <c r="A143">
        <v>122</v>
      </c>
      <c r="B143">
        <v>7.7499999999999999E-2</v>
      </c>
      <c r="C143">
        <v>6.45833E-3</v>
      </c>
      <c r="D143">
        <v>2726.95</v>
      </c>
      <c r="E143">
        <v>0</v>
      </c>
      <c r="F143">
        <v>2726.95</v>
      </c>
      <c r="G143">
        <v>2141.5100000000002</v>
      </c>
      <c r="H143">
        <v>585.44000000000005</v>
      </c>
      <c r="I143">
        <v>331003.96000000002</v>
      </c>
      <c r="J143">
        <v>-2726.95</v>
      </c>
    </row>
    <row r="144" spans="1:10" x14ac:dyDescent="0.35">
      <c r="A144">
        <v>123</v>
      </c>
      <c r="B144">
        <v>7.7499999999999999E-2</v>
      </c>
      <c r="C144">
        <v>6.45833E-3</v>
      </c>
      <c r="D144">
        <v>2726.95</v>
      </c>
      <c r="E144">
        <v>0</v>
      </c>
      <c r="F144">
        <v>2726.95</v>
      </c>
      <c r="G144">
        <v>2137.73</v>
      </c>
      <c r="H144">
        <v>589.22</v>
      </c>
      <c r="I144">
        <v>330414.74</v>
      </c>
      <c r="J144">
        <v>-2726.95</v>
      </c>
    </row>
    <row r="145" spans="1:10" x14ac:dyDescent="0.35">
      <c r="A145">
        <v>124</v>
      </c>
      <c r="B145">
        <v>7.7499999999999999E-2</v>
      </c>
      <c r="C145">
        <v>6.45833E-3</v>
      </c>
      <c r="D145">
        <v>2726.95</v>
      </c>
      <c r="E145">
        <v>0</v>
      </c>
      <c r="F145">
        <v>2726.95</v>
      </c>
      <c r="G145">
        <v>2133.9299999999998</v>
      </c>
      <c r="H145">
        <v>593.03</v>
      </c>
      <c r="I145">
        <v>329821.71000000002</v>
      </c>
      <c r="J145">
        <v>-2726.95</v>
      </c>
    </row>
    <row r="146" spans="1:10" x14ac:dyDescent="0.35">
      <c r="A146">
        <v>125</v>
      </c>
      <c r="B146">
        <v>7.7499999999999999E-2</v>
      </c>
      <c r="C146">
        <v>6.45833E-3</v>
      </c>
      <c r="D146">
        <v>2726.95</v>
      </c>
      <c r="E146">
        <v>0</v>
      </c>
      <c r="F146">
        <v>2726.95</v>
      </c>
      <c r="G146">
        <v>2130.1</v>
      </c>
      <c r="H146">
        <v>596.86</v>
      </c>
      <c r="I146">
        <v>329224.86</v>
      </c>
      <c r="J146">
        <v>-2726.95</v>
      </c>
    </row>
    <row r="147" spans="1:10" x14ac:dyDescent="0.35">
      <c r="A147">
        <v>126</v>
      </c>
      <c r="B147">
        <v>7.7499999999999999E-2</v>
      </c>
      <c r="C147">
        <v>6.45833E-3</v>
      </c>
      <c r="D147">
        <v>2726.95</v>
      </c>
      <c r="E147">
        <v>0</v>
      </c>
      <c r="F147">
        <v>2726.95</v>
      </c>
      <c r="G147">
        <v>2126.2399999999998</v>
      </c>
      <c r="H147">
        <v>600.71</v>
      </c>
      <c r="I147">
        <v>328624.15000000002</v>
      </c>
      <c r="J147">
        <v>-2726.95</v>
      </c>
    </row>
    <row r="148" spans="1:10" x14ac:dyDescent="0.35">
      <c r="A148">
        <v>127</v>
      </c>
      <c r="B148">
        <v>7.7499999999999999E-2</v>
      </c>
      <c r="C148">
        <v>6.45833E-3</v>
      </c>
      <c r="D148">
        <v>2726.95</v>
      </c>
      <c r="E148">
        <v>0</v>
      </c>
      <c r="F148">
        <v>2726.95</v>
      </c>
      <c r="G148">
        <v>2122.36</v>
      </c>
      <c r="H148">
        <v>604.59</v>
      </c>
      <c r="I148">
        <v>328019.56</v>
      </c>
      <c r="J148">
        <v>-2726.95</v>
      </c>
    </row>
    <row r="149" spans="1:10" x14ac:dyDescent="0.35">
      <c r="A149">
        <v>128</v>
      </c>
      <c r="B149">
        <v>7.7499999999999999E-2</v>
      </c>
      <c r="C149">
        <v>6.45833E-3</v>
      </c>
      <c r="D149">
        <v>2726.95</v>
      </c>
      <c r="E149">
        <v>0</v>
      </c>
      <c r="F149">
        <v>2726.95</v>
      </c>
      <c r="G149">
        <v>2118.46</v>
      </c>
      <c r="H149">
        <v>608.49</v>
      </c>
      <c r="I149">
        <v>327411.07</v>
      </c>
      <c r="J149">
        <v>-2726.95</v>
      </c>
    </row>
    <row r="150" spans="1:10" x14ac:dyDescent="0.35">
      <c r="A150">
        <v>129</v>
      </c>
      <c r="B150">
        <v>7.7499999999999999E-2</v>
      </c>
      <c r="C150">
        <v>6.45833E-3</v>
      </c>
      <c r="D150">
        <v>2726.95</v>
      </c>
      <c r="E150">
        <v>0</v>
      </c>
      <c r="F150">
        <v>2726.95</v>
      </c>
      <c r="G150">
        <v>2114.5300000000002</v>
      </c>
      <c r="H150">
        <v>612.41999999999996</v>
      </c>
      <c r="I150">
        <v>326798.64</v>
      </c>
      <c r="J150">
        <v>-2726.95</v>
      </c>
    </row>
    <row r="151" spans="1:10" x14ac:dyDescent="0.35">
      <c r="A151">
        <v>130</v>
      </c>
      <c r="B151">
        <v>7.7499999999999999E-2</v>
      </c>
      <c r="C151">
        <v>6.45833E-3</v>
      </c>
      <c r="D151">
        <v>2726.95</v>
      </c>
      <c r="E151">
        <v>0</v>
      </c>
      <c r="F151">
        <v>2726.95</v>
      </c>
      <c r="G151">
        <v>2110.5700000000002</v>
      </c>
      <c r="H151">
        <v>616.38</v>
      </c>
      <c r="I151">
        <v>326182.26</v>
      </c>
      <c r="J151">
        <v>-2726.95</v>
      </c>
    </row>
    <row r="152" spans="1:10" x14ac:dyDescent="0.35">
      <c r="A152">
        <v>131</v>
      </c>
      <c r="B152">
        <v>7.7499999999999999E-2</v>
      </c>
      <c r="C152">
        <v>6.45833E-3</v>
      </c>
      <c r="D152">
        <v>2726.95</v>
      </c>
      <c r="E152">
        <v>0</v>
      </c>
      <c r="F152">
        <v>2726.95</v>
      </c>
      <c r="G152">
        <v>2106.59</v>
      </c>
      <c r="H152">
        <v>620.36</v>
      </c>
      <c r="I152">
        <v>325561.90000000002</v>
      </c>
      <c r="J152">
        <v>-2726.95</v>
      </c>
    </row>
    <row r="153" spans="1:10" x14ac:dyDescent="0.35">
      <c r="A153">
        <v>132</v>
      </c>
      <c r="B153">
        <v>7.7499999999999999E-2</v>
      </c>
      <c r="C153">
        <v>6.45833E-3</v>
      </c>
      <c r="D153">
        <v>2726.95</v>
      </c>
      <c r="E153">
        <v>0</v>
      </c>
      <c r="F153">
        <v>2726.95</v>
      </c>
      <c r="G153">
        <v>2102.59</v>
      </c>
      <c r="H153">
        <v>624.37</v>
      </c>
      <c r="I153">
        <v>324937.53999999998</v>
      </c>
      <c r="J153">
        <v>-2726.95</v>
      </c>
    </row>
    <row r="154" spans="1:10" x14ac:dyDescent="0.35">
      <c r="A154">
        <v>133</v>
      </c>
      <c r="B154">
        <v>7.7499999999999999E-2</v>
      </c>
      <c r="C154">
        <v>6.45833E-3</v>
      </c>
      <c r="D154">
        <v>2726.95</v>
      </c>
      <c r="E154">
        <v>0</v>
      </c>
      <c r="F154">
        <v>2726.95</v>
      </c>
      <c r="G154">
        <v>2098.5500000000002</v>
      </c>
      <c r="H154">
        <v>628.4</v>
      </c>
      <c r="I154">
        <v>324309.14</v>
      </c>
      <c r="J154">
        <v>-2726.95</v>
      </c>
    </row>
    <row r="155" spans="1:10" x14ac:dyDescent="0.35">
      <c r="A155">
        <v>134</v>
      </c>
      <c r="B155">
        <v>7.7499999999999999E-2</v>
      </c>
      <c r="C155">
        <v>6.45833E-3</v>
      </c>
      <c r="D155">
        <v>2726.95</v>
      </c>
      <c r="E155">
        <v>0</v>
      </c>
      <c r="F155">
        <v>2726.95</v>
      </c>
      <c r="G155">
        <v>2094.5</v>
      </c>
      <c r="H155">
        <v>632.46</v>
      </c>
      <c r="I155">
        <v>323676.68</v>
      </c>
      <c r="J155">
        <v>-2726.95</v>
      </c>
    </row>
    <row r="156" spans="1:10" x14ac:dyDescent="0.35">
      <c r="A156">
        <v>135</v>
      </c>
      <c r="B156">
        <v>7.7499999999999999E-2</v>
      </c>
      <c r="C156">
        <v>6.45833E-3</v>
      </c>
      <c r="D156">
        <v>2726.95</v>
      </c>
      <c r="E156">
        <v>0</v>
      </c>
      <c r="F156">
        <v>2726.95</v>
      </c>
      <c r="G156">
        <v>2090.41</v>
      </c>
      <c r="H156">
        <v>636.54</v>
      </c>
      <c r="I156">
        <v>323040.14</v>
      </c>
      <c r="J156">
        <v>-2726.95</v>
      </c>
    </row>
    <row r="157" spans="1:10" x14ac:dyDescent="0.35">
      <c r="A157">
        <v>136</v>
      </c>
      <c r="B157">
        <v>7.7499999999999999E-2</v>
      </c>
      <c r="C157">
        <v>6.45833E-3</v>
      </c>
      <c r="D157">
        <v>2726.95</v>
      </c>
      <c r="E157">
        <v>0</v>
      </c>
      <c r="F157">
        <v>2726.95</v>
      </c>
      <c r="G157">
        <v>2086.3000000000002</v>
      </c>
      <c r="H157">
        <v>640.65</v>
      </c>
      <c r="I157">
        <v>322399.49</v>
      </c>
      <c r="J157">
        <v>-2726.95</v>
      </c>
    </row>
    <row r="158" spans="1:10" x14ac:dyDescent="0.35">
      <c r="A158">
        <v>137</v>
      </c>
      <c r="B158">
        <v>7.7499999999999999E-2</v>
      </c>
      <c r="C158">
        <v>6.45833E-3</v>
      </c>
      <c r="D158">
        <v>2726.95</v>
      </c>
      <c r="E158">
        <v>0</v>
      </c>
      <c r="F158">
        <v>2726.95</v>
      </c>
      <c r="G158">
        <v>2082.16</v>
      </c>
      <c r="H158">
        <v>644.79</v>
      </c>
      <c r="I158">
        <v>321754.7</v>
      </c>
      <c r="J158">
        <v>-2726.95</v>
      </c>
    </row>
    <row r="159" spans="1:10" x14ac:dyDescent="0.35">
      <c r="A159">
        <v>138</v>
      </c>
      <c r="B159">
        <v>7.7499999999999999E-2</v>
      </c>
      <c r="C159">
        <v>6.45833E-3</v>
      </c>
      <c r="D159">
        <v>2726.95</v>
      </c>
      <c r="E159">
        <v>0</v>
      </c>
      <c r="F159">
        <v>2726.95</v>
      </c>
      <c r="G159">
        <v>2078</v>
      </c>
      <c r="H159">
        <v>648.95000000000005</v>
      </c>
      <c r="I159">
        <v>321105.74</v>
      </c>
      <c r="J159">
        <v>-2726.95</v>
      </c>
    </row>
    <row r="160" spans="1:10" x14ac:dyDescent="0.35">
      <c r="A160">
        <v>139</v>
      </c>
      <c r="B160">
        <v>7.7499999999999999E-2</v>
      </c>
      <c r="C160">
        <v>6.45833E-3</v>
      </c>
      <c r="D160">
        <v>2726.95</v>
      </c>
      <c r="E160">
        <v>0</v>
      </c>
      <c r="F160">
        <v>2726.95</v>
      </c>
      <c r="G160">
        <v>2073.81</v>
      </c>
      <c r="H160">
        <v>653.15</v>
      </c>
      <c r="I160">
        <v>320452.59000000003</v>
      </c>
      <c r="J160">
        <v>-2726.95</v>
      </c>
    </row>
    <row r="161" spans="1:10" x14ac:dyDescent="0.35">
      <c r="A161">
        <v>140</v>
      </c>
      <c r="B161">
        <v>7.7499999999999999E-2</v>
      </c>
      <c r="C161">
        <v>6.45833E-3</v>
      </c>
      <c r="D161">
        <v>2726.95</v>
      </c>
      <c r="E161">
        <v>0</v>
      </c>
      <c r="F161">
        <v>2726.95</v>
      </c>
      <c r="G161">
        <v>2069.59</v>
      </c>
      <c r="H161">
        <v>657.36</v>
      </c>
      <c r="I161">
        <v>319795.23</v>
      </c>
      <c r="J161">
        <v>-2726.95</v>
      </c>
    </row>
    <row r="162" spans="1:10" x14ac:dyDescent="0.35">
      <c r="A162">
        <v>141</v>
      </c>
      <c r="B162">
        <v>7.7499999999999999E-2</v>
      </c>
      <c r="C162">
        <v>6.45833E-3</v>
      </c>
      <c r="D162">
        <v>2726.95</v>
      </c>
      <c r="E162">
        <v>0</v>
      </c>
      <c r="F162">
        <v>2726.95</v>
      </c>
      <c r="G162">
        <v>2065.34</v>
      </c>
      <c r="H162">
        <v>661.61</v>
      </c>
      <c r="I162">
        <v>319133.62</v>
      </c>
      <c r="J162">
        <v>-2726.95</v>
      </c>
    </row>
    <row r="163" spans="1:10" x14ac:dyDescent="0.35">
      <c r="A163">
        <v>142</v>
      </c>
      <c r="B163">
        <v>7.7499999999999999E-2</v>
      </c>
      <c r="C163">
        <v>6.45833E-3</v>
      </c>
      <c r="D163">
        <v>2726.95</v>
      </c>
      <c r="E163">
        <v>0</v>
      </c>
      <c r="F163">
        <v>2726.95</v>
      </c>
      <c r="G163">
        <v>2061.0700000000002</v>
      </c>
      <c r="H163">
        <v>665.88</v>
      </c>
      <c r="I163">
        <v>318467.74</v>
      </c>
      <c r="J163">
        <v>-2726.95</v>
      </c>
    </row>
    <row r="164" spans="1:10" x14ac:dyDescent="0.35">
      <c r="A164">
        <v>143</v>
      </c>
      <c r="B164">
        <v>7.7499999999999999E-2</v>
      </c>
      <c r="C164">
        <v>6.45833E-3</v>
      </c>
      <c r="D164">
        <v>2726.95</v>
      </c>
      <c r="E164">
        <v>0</v>
      </c>
      <c r="F164">
        <v>2726.95</v>
      </c>
      <c r="G164">
        <v>2056.77</v>
      </c>
      <c r="H164">
        <v>670.18</v>
      </c>
      <c r="I164">
        <v>317797.56</v>
      </c>
      <c r="J164">
        <v>-2726.95</v>
      </c>
    </row>
    <row r="165" spans="1:10" x14ac:dyDescent="0.35">
      <c r="A165">
        <v>144</v>
      </c>
      <c r="B165">
        <v>7.7499999999999999E-2</v>
      </c>
      <c r="C165">
        <v>6.45833E-3</v>
      </c>
      <c r="D165">
        <v>2726.95</v>
      </c>
      <c r="E165">
        <v>0</v>
      </c>
      <c r="F165">
        <v>2726.95</v>
      </c>
      <c r="G165">
        <v>2052.44</v>
      </c>
      <c r="H165">
        <v>674.51</v>
      </c>
      <c r="I165">
        <v>317123.03999999998</v>
      </c>
      <c r="J165">
        <v>-2726.95</v>
      </c>
    </row>
    <row r="166" spans="1:10" x14ac:dyDescent="0.35">
      <c r="A166">
        <v>145</v>
      </c>
      <c r="B166">
        <v>7.7499999999999999E-2</v>
      </c>
      <c r="C166">
        <v>6.45833E-3</v>
      </c>
      <c r="D166">
        <v>2726.95</v>
      </c>
      <c r="E166">
        <v>0</v>
      </c>
      <c r="F166">
        <v>2726.95</v>
      </c>
      <c r="G166">
        <v>2048.09</v>
      </c>
      <c r="H166">
        <v>678.87</v>
      </c>
      <c r="I166">
        <v>316444.18</v>
      </c>
      <c r="J166">
        <v>-2726.95</v>
      </c>
    </row>
    <row r="167" spans="1:10" x14ac:dyDescent="0.35">
      <c r="A167">
        <v>146</v>
      </c>
      <c r="B167">
        <v>7.7499999999999999E-2</v>
      </c>
      <c r="C167">
        <v>6.45833E-3</v>
      </c>
      <c r="D167">
        <v>2726.95</v>
      </c>
      <c r="E167">
        <v>0</v>
      </c>
      <c r="F167">
        <v>2726.95</v>
      </c>
      <c r="G167">
        <v>2043.7</v>
      </c>
      <c r="H167">
        <v>683.25</v>
      </c>
      <c r="I167">
        <v>315760.93</v>
      </c>
      <c r="J167">
        <v>-2726.95</v>
      </c>
    </row>
    <row r="168" spans="1:10" x14ac:dyDescent="0.35">
      <c r="A168">
        <v>147</v>
      </c>
      <c r="B168">
        <v>7.7499999999999999E-2</v>
      </c>
      <c r="C168">
        <v>6.45833E-3</v>
      </c>
      <c r="D168">
        <v>2726.95</v>
      </c>
      <c r="E168">
        <v>0</v>
      </c>
      <c r="F168">
        <v>2726.95</v>
      </c>
      <c r="G168">
        <v>2039.29</v>
      </c>
      <c r="H168">
        <v>687.66</v>
      </c>
      <c r="I168">
        <v>315073.26</v>
      </c>
      <c r="J168">
        <v>-2726.95</v>
      </c>
    </row>
    <row r="169" spans="1:10" x14ac:dyDescent="0.35">
      <c r="A169">
        <v>148</v>
      </c>
      <c r="B169">
        <v>7.7499999999999999E-2</v>
      </c>
      <c r="C169">
        <v>6.45833E-3</v>
      </c>
      <c r="D169">
        <v>2726.95</v>
      </c>
      <c r="E169">
        <v>0</v>
      </c>
      <c r="F169">
        <v>2726.95</v>
      </c>
      <c r="G169">
        <v>2034.85</v>
      </c>
      <c r="H169">
        <v>692.11</v>
      </c>
      <c r="I169">
        <v>314381.15999999997</v>
      </c>
      <c r="J169">
        <v>-2726.95</v>
      </c>
    </row>
    <row r="170" spans="1:10" x14ac:dyDescent="0.35">
      <c r="A170">
        <v>149</v>
      </c>
      <c r="B170">
        <v>7.7499999999999999E-2</v>
      </c>
      <c r="C170">
        <v>6.45833E-3</v>
      </c>
      <c r="D170">
        <v>2726.95</v>
      </c>
      <c r="E170">
        <v>0</v>
      </c>
      <c r="F170">
        <v>2726.95</v>
      </c>
      <c r="G170">
        <v>2030.38</v>
      </c>
      <c r="H170">
        <v>696.58</v>
      </c>
      <c r="I170">
        <v>313684.58</v>
      </c>
      <c r="J170">
        <v>-2726.95</v>
      </c>
    </row>
    <row r="171" spans="1:10" x14ac:dyDescent="0.35">
      <c r="A171">
        <v>150</v>
      </c>
      <c r="B171">
        <v>7.7499999999999999E-2</v>
      </c>
      <c r="C171">
        <v>6.45833E-3</v>
      </c>
      <c r="D171">
        <v>2726.95</v>
      </c>
      <c r="E171">
        <v>0</v>
      </c>
      <c r="F171">
        <v>2726.95</v>
      </c>
      <c r="G171">
        <v>2025.88</v>
      </c>
      <c r="H171">
        <v>701.07</v>
      </c>
      <c r="I171">
        <v>312983.51</v>
      </c>
      <c r="J171">
        <v>-2726.95</v>
      </c>
    </row>
    <row r="172" spans="1:10" x14ac:dyDescent="0.35">
      <c r="A172">
        <v>151</v>
      </c>
      <c r="B172">
        <v>7.7499999999999999E-2</v>
      </c>
      <c r="C172">
        <v>6.45833E-3</v>
      </c>
      <c r="D172">
        <v>2726.95</v>
      </c>
      <c r="E172">
        <v>0</v>
      </c>
      <c r="F172">
        <v>2726.95</v>
      </c>
      <c r="G172">
        <v>2021.35</v>
      </c>
      <c r="H172">
        <v>705.6</v>
      </c>
      <c r="I172">
        <v>312277.90000000002</v>
      </c>
      <c r="J172">
        <v>-2726.95</v>
      </c>
    </row>
    <row r="173" spans="1:10" x14ac:dyDescent="0.35">
      <c r="A173">
        <v>152</v>
      </c>
      <c r="B173">
        <v>7.7499999999999999E-2</v>
      </c>
      <c r="C173">
        <v>6.45833E-3</v>
      </c>
      <c r="D173">
        <v>2726.95</v>
      </c>
      <c r="E173">
        <v>0</v>
      </c>
      <c r="F173">
        <v>2726.95</v>
      </c>
      <c r="G173">
        <v>2016.79</v>
      </c>
      <c r="H173">
        <v>710.16</v>
      </c>
      <c r="I173">
        <v>311567.75</v>
      </c>
      <c r="J173">
        <v>-2726.95</v>
      </c>
    </row>
    <row r="174" spans="1:10" x14ac:dyDescent="0.35">
      <c r="A174">
        <v>153</v>
      </c>
      <c r="B174">
        <v>7.7499999999999999E-2</v>
      </c>
      <c r="C174">
        <v>6.45833E-3</v>
      </c>
      <c r="D174">
        <v>2726.95</v>
      </c>
      <c r="E174">
        <v>0</v>
      </c>
      <c r="F174">
        <v>2726.95</v>
      </c>
      <c r="G174">
        <v>2012.21</v>
      </c>
      <c r="H174">
        <v>714.75</v>
      </c>
      <c r="I174">
        <v>310853</v>
      </c>
      <c r="J174">
        <v>-2726.95</v>
      </c>
    </row>
    <row r="175" spans="1:10" x14ac:dyDescent="0.35">
      <c r="A175">
        <v>154</v>
      </c>
      <c r="B175">
        <v>7.7499999999999999E-2</v>
      </c>
      <c r="C175">
        <v>6.45833E-3</v>
      </c>
      <c r="D175">
        <v>2726.95</v>
      </c>
      <c r="E175">
        <v>0</v>
      </c>
      <c r="F175">
        <v>2726.95</v>
      </c>
      <c r="G175">
        <v>2007.59</v>
      </c>
      <c r="H175">
        <v>719.36</v>
      </c>
      <c r="I175">
        <v>310133.64</v>
      </c>
      <c r="J175">
        <v>-2726.95</v>
      </c>
    </row>
    <row r="176" spans="1:10" x14ac:dyDescent="0.35">
      <c r="A176">
        <v>155</v>
      </c>
      <c r="B176">
        <v>7.7499999999999999E-2</v>
      </c>
      <c r="C176">
        <v>6.45833E-3</v>
      </c>
      <c r="D176">
        <v>2726.95</v>
      </c>
      <c r="E176">
        <v>0</v>
      </c>
      <c r="F176">
        <v>2726.95</v>
      </c>
      <c r="G176">
        <v>2002.95</v>
      </c>
      <c r="H176">
        <v>724.01</v>
      </c>
      <c r="I176">
        <v>309409.63</v>
      </c>
      <c r="J176">
        <v>-2726.95</v>
      </c>
    </row>
    <row r="177" spans="1:10" x14ac:dyDescent="0.35">
      <c r="A177">
        <v>156</v>
      </c>
      <c r="B177">
        <v>7.7499999999999999E-2</v>
      </c>
      <c r="C177">
        <v>6.45833E-3</v>
      </c>
      <c r="D177">
        <v>2726.95</v>
      </c>
      <c r="E177">
        <v>0</v>
      </c>
      <c r="F177">
        <v>2726.95</v>
      </c>
      <c r="G177">
        <v>1998.27</v>
      </c>
      <c r="H177">
        <v>728.68</v>
      </c>
      <c r="I177">
        <v>308680.95</v>
      </c>
      <c r="J177">
        <v>-2726.95</v>
      </c>
    </row>
    <row r="178" spans="1:10" x14ac:dyDescent="0.35">
      <c r="A178">
        <v>157</v>
      </c>
      <c r="B178">
        <v>7.7499999999999999E-2</v>
      </c>
      <c r="C178">
        <v>6.45833E-3</v>
      </c>
      <c r="D178">
        <v>2726.95</v>
      </c>
      <c r="E178">
        <v>0</v>
      </c>
      <c r="F178">
        <v>2726.95</v>
      </c>
      <c r="G178">
        <v>1993.56</v>
      </c>
      <c r="H178">
        <v>733.39</v>
      </c>
      <c r="I178">
        <v>307947.56</v>
      </c>
      <c r="J178">
        <v>-2726.95</v>
      </c>
    </row>
    <row r="179" spans="1:10" x14ac:dyDescent="0.35">
      <c r="A179">
        <v>158</v>
      </c>
      <c r="B179">
        <v>7.7499999999999999E-2</v>
      </c>
      <c r="C179">
        <v>6.45833E-3</v>
      </c>
      <c r="D179">
        <v>2726.95</v>
      </c>
      <c r="E179">
        <v>0</v>
      </c>
      <c r="F179">
        <v>2726.95</v>
      </c>
      <c r="G179">
        <v>1988.83</v>
      </c>
      <c r="H179">
        <v>738.13</v>
      </c>
      <c r="I179">
        <v>307209.43</v>
      </c>
      <c r="J179">
        <v>-2726.95</v>
      </c>
    </row>
    <row r="180" spans="1:10" x14ac:dyDescent="0.35">
      <c r="A180">
        <v>159</v>
      </c>
      <c r="B180">
        <v>7.7499999999999999E-2</v>
      </c>
      <c r="C180">
        <v>6.45833E-3</v>
      </c>
      <c r="D180">
        <v>2726.95</v>
      </c>
      <c r="E180">
        <v>0</v>
      </c>
      <c r="F180">
        <v>2726.95</v>
      </c>
      <c r="G180">
        <v>1984.06</v>
      </c>
      <c r="H180">
        <v>742.89</v>
      </c>
      <c r="I180">
        <v>306466.53999999998</v>
      </c>
      <c r="J180">
        <v>-2726.95</v>
      </c>
    </row>
    <row r="181" spans="1:10" x14ac:dyDescent="0.35">
      <c r="A181">
        <v>160</v>
      </c>
      <c r="B181">
        <v>7.7499999999999999E-2</v>
      </c>
      <c r="C181">
        <v>6.45833E-3</v>
      </c>
      <c r="D181">
        <v>2726.95</v>
      </c>
      <c r="E181">
        <v>0</v>
      </c>
      <c r="F181">
        <v>2726.95</v>
      </c>
      <c r="G181">
        <v>1979.26</v>
      </c>
      <c r="H181">
        <v>747.69</v>
      </c>
      <c r="I181">
        <v>305718.84999999998</v>
      </c>
      <c r="J181">
        <v>-2726.95</v>
      </c>
    </row>
    <row r="182" spans="1:10" x14ac:dyDescent="0.35">
      <c r="A182">
        <v>161</v>
      </c>
      <c r="B182">
        <v>7.7499999999999999E-2</v>
      </c>
      <c r="C182">
        <v>6.45833E-3</v>
      </c>
      <c r="D182">
        <v>2726.95</v>
      </c>
      <c r="E182">
        <v>0</v>
      </c>
      <c r="F182">
        <v>2726.95</v>
      </c>
      <c r="G182">
        <v>1974.43</v>
      </c>
      <c r="H182">
        <v>752.52</v>
      </c>
      <c r="I182">
        <v>304966.33</v>
      </c>
      <c r="J182">
        <v>-2726.95</v>
      </c>
    </row>
    <row r="183" spans="1:10" x14ac:dyDescent="0.35">
      <c r="A183">
        <v>162</v>
      </c>
      <c r="B183">
        <v>7.7499999999999999E-2</v>
      </c>
      <c r="C183">
        <v>6.45833E-3</v>
      </c>
      <c r="D183">
        <v>2726.95</v>
      </c>
      <c r="E183">
        <v>0</v>
      </c>
      <c r="F183">
        <v>2726.95</v>
      </c>
      <c r="G183">
        <v>1969.57</v>
      </c>
      <c r="H183">
        <v>757.38</v>
      </c>
      <c r="I183">
        <v>304208.95</v>
      </c>
      <c r="J183">
        <v>-2726.95</v>
      </c>
    </row>
    <row r="184" spans="1:10" x14ac:dyDescent="0.35">
      <c r="A184">
        <v>163</v>
      </c>
      <c r="B184">
        <v>7.7499999999999999E-2</v>
      </c>
      <c r="C184">
        <v>6.45833E-3</v>
      </c>
      <c r="D184">
        <v>2726.95</v>
      </c>
      <c r="E184">
        <v>0</v>
      </c>
      <c r="F184">
        <v>2726.95</v>
      </c>
      <c r="G184">
        <v>1964.68</v>
      </c>
      <c r="H184">
        <v>762.27</v>
      </c>
      <c r="I184">
        <v>303446.68</v>
      </c>
      <c r="J184">
        <v>-2726.95</v>
      </c>
    </row>
    <row r="185" spans="1:10" x14ac:dyDescent="0.35">
      <c r="A185">
        <v>164</v>
      </c>
      <c r="B185">
        <v>7.7499999999999999E-2</v>
      </c>
      <c r="C185">
        <v>6.45833E-3</v>
      </c>
      <c r="D185">
        <v>2726.95</v>
      </c>
      <c r="E185">
        <v>0</v>
      </c>
      <c r="F185">
        <v>2726.95</v>
      </c>
      <c r="G185">
        <v>1959.76</v>
      </c>
      <c r="H185">
        <v>767.19</v>
      </c>
      <c r="I185">
        <v>302679.49</v>
      </c>
      <c r="J185">
        <v>-2726.95</v>
      </c>
    </row>
    <row r="186" spans="1:10" x14ac:dyDescent="0.35">
      <c r="A186">
        <v>165</v>
      </c>
      <c r="B186">
        <v>7.7499999999999999E-2</v>
      </c>
      <c r="C186">
        <v>6.45833E-3</v>
      </c>
      <c r="D186">
        <v>2726.95</v>
      </c>
      <c r="E186">
        <v>0</v>
      </c>
      <c r="F186">
        <v>2726.95</v>
      </c>
      <c r="G186">
        <v>1954.81</v>
      </c>
      <c r="H186">
        <v>772.15</v>
      </c>
      <c r="I186">
        <v>301907.34000000003</v>
      </c>
      <c r="J186">
        <v>-2726.95</v>
      </c>
    </row>
    <row r="187" spans="1:10" x14ac:dyDescent="0.35">
      <c r="A187">
        <v>166</v>
      </c>
      <c r="B187">
        <v>7.7499999999999999E-2</v>
      </c>
      <c r="C187">
        <v>6.45833E-3</v>
      </c>
      <c r="D187">
        <v>2726.95</v>
      </c>
      <c r="E187">
        <v>0</v>
      </c>
      <c r="F187">
        <v>2726.95</v>
      </c>
      <c r="G187">
        <v>1949.82</v>
      </c>
      <c r="H187">
        <v>777.14</v>
      </c>
      <c r="I187">
        <v>301130.2</v>
      </c>
      <c r="J187">
        <v>-2726.95</v>
      </c>
    </row>
    <row r="188" spans="1:10" x14ac:dyDescent="0.35">
      <c r="A188">
        <v>167</v>
      </c>
      <c r="B188">
        <v>7.7499999999999999E-2</v>
      </c>
      <c r="C188">
        <v>6.45833E-3</v>
      </c>
      <c r="D188">
        <v>2726.95</v>
      </c>
      <c r="E188">
        <v>0</v>
      </c>
      <c r="F188">
        <v>2726.95</v>
      </c>
      <c r="G188">
        <v>1944.8</v>
      </c>
      <c r="H188">
        <v>782.15</v>
      </c>
      <c r="I188">
        <v>300348.05</v>
      </c>
      <c r="J188">
        <v>-2726.95</v>
      </c>
    </row>
    <row r="189" spans="1:10" x14ac:dyDescent="0.35">
      <c r="A189">
        <v>168</v>
      </c>
      <c r="B189">
        <v>7.7499999999999999E-2</v>
      </c>
      <c r="C189">
        <v>6.45833E-3</v>
      </c>
      <c r="D189">
        <v>2726.95</v>
      </c>
      <c r="E189">
        <v>0</v>
      </c>
      <c r="F189">
        <v>2726.95</v>
      </c>
      <c r="G189">
        <v>1939.75</v>
      </c>
      <c r="H189">
        <v>787.21</v>
      </c>
      <c r="I189">
        <v>299560.84000000003</v>
      </c>
      <c r="J189">
        <v>-2726.95</v>
      </c>
    </row>
    <row r="190" spans="1:10" x14ac:dyDescent="0.35">
      <c r="A190">
        <v>169</v>
      </c>
      <c r="B190">
        <v>7.7499999999999999E-2</v>
      </c>
      <c r="C190">
        <v>6.45833E-3</v>
      </c>
      <c r="D190">
        <v>2726.95</v>
      </c>
      <c r="E190">
        <v>0</v>
      </c>
      <c r="F190">
        <v>2726.95</v>
      </c>
      <c r="G190">
        <v>1934.66</v>
      </c>
      <c r="H190">
        <v>792.29</v>
      </c>
      <c r="I190">
        <v>298768.55</v>
      </c>
      <c r="J190">
        <v>-2726.95</v>
      </c>
    </row>
    <row r="191" spans="1:10" x14ac:dyDescent="0.35">
      <c r="A191">
        <v>170</v>
      </c>
      <c r="B191">
        <v>7.7499999999999999E-2</v>
      </c>
      <c r="C191">
        <v>6.45833E-3</v>
      </c>
      <c r="D191">
        <v>2726.95</v>
      </c>
      <c r="E191">
        <v>0</v>
      </c>
      <c r="F191">
        <v>2726.95</v>
      </c>
      <c r="G191">
        <v>1929.55</v>
      </c>
      <c r="H191">
        <v>797.41</v>
      </c>
      <c r="I191">
        <v>297971.14</v>
      </c>
      <c r="J191">
        <v>-2726.95</v>
      </c>
    </row>
    <row r="192" spans="1:10" x14ac:dyDescent="0.35">
      <c r="A192">
        <v>171</v>
      </c>
      <c r="B192">
        <v>7.7499999999999999E-2</v>
      </c>
      <c r="C192">
        <v>6.45833E-3</v>
      </c>
      <c r="D192">
        <v>2726.95</v>
      </c>
      <c r="E192">
        <v>0</v>
      </c>
      <c r="F192">
        <v>2726.95</v>
      </c>
      <c r="G192">
        <v>1924.4</v>
      </c>
      <c r="H192">
        <v>802.56</v>
      </c>
      <c r="I192">
        <v>297168.59000000003</v>
      </c>
      <c r="J192">
        <v>-2726.95</v>
      </c>
    </row>
    <row r="193" spans="1:10" x14ac:dyDescent="0.35">
      <c r="A193">
        <v>172</v>
      </c>
      <c r="B193">
        <v>7.7499999999999999E-2</v>
      </c>
      <c r="C193">
        <v>6.45833E-3</v>
      </c>
      <c r="D193">
        <v>2726.95</v>
      </c>
      <c r="E193">
        <v>0</v>
      </c>
      <c r="F193">
        <v>2726.95</v>
      </c>
      <c r="G193">
        <v>1919.21</v>
      </c>
      <c r="H193">
        <v>807.74</v>
      </c>
      <c r="I193">
        <v>296360.84999999998</v>
      </c>
      <c r="J193">
        <v>-2726.95</v>
      </c>
    </row>
    <row r="194" spans="1:10" x14ac:dyDescent="0.35">
      <c r="A194">
        <v>173</v>
      </c>
      <c r="B194">
        <v>7.7499999999999999E-2</v>
      </c>
      <c r="C194">
        <v>6.45833E-3</v>
      </c>
      <c r="D194">
        <v>2726.95</v>
      </c>
      <c r="E194">
        <v>0</v>
      </c>
      <c r="F194">
        <v>2726.95</v>
      </c>
      <c r="G194">
        <v>1914</v>
      </c>
      <c r="H194">
        <v>812.96</v>
      </c>
      <c r="I194">
        <v>295547.89</v>
      </c>
      <c r="J194">
        <v>-2726.95</v>
      </c>
    </row>
    <row r="195" spans="1:10" x14ac:dyDescent="0.35">
      <c r="A195">
        <v>174</v>
      </c>
      <c r="B195">
        <v>7.7499999999999999E-2</v>
      </c>
      <c r="C195">
        <v>6.45833E-3</v>
      </c>
      <c r="D195">
        <v>2726.95</v>
      </c>
      <c r="E195">
        <v>0</v>
      </c>
      <c r="F195">
        <v>2726.95</v>
      </c>
      <c r="G195">
        <v>1908.75</v>
      </c>
      <c r="H195">
        <v>818.21</v>
      </c>
      <c r="I195">
        <v>294729.68</v>
      </c>
      <c r="J195">
        <v>-2726.95</v>
      </c>
    </row>
    <row r="196" spans="1:10" x14ac:dyDescent="0.35">
      <c r="A196">
        <v>175</v>
      </c>
      <c r="B196">
        <v>7.7499999999999999E-2</v>
      </c>
      <c r="C196">
        <v>6.45833E-3</v>
      </c>
      <c r="D196">
        <v>2726.95</v>
      </c>
      <c r="E196">
        <v>0</v>
      </c>
      <c r="F196">
        <v>2726.95</v>
      </c>
      <c r="G196">
        <v>1903.46</v>
      </c>
      <c r="H196">
        <v>823.49</v>
      </c>
      <c r="I196">
        <v>293906.19</v>
      </c>
      <c r="J196">
        <v>-2726.95</v>
      </c>
    </row>
    <row r="197" spans="1:10" x14ac:dyDescent="0.35">
      <c r="A197">
        <v>176</v>
      </c>
      <c r="B197">
        <v>7.7499999999999999E-2</v>
      </c>
      <c r="C197">
        <v>6.45833E-3</v>
      </c>
      <c r="D197">
        <v>2726.95</v>
      </c>
      <c r="E197">
        <v>0</v>
      </c>
      <c r="F197">
        <v>2726.95</v>
      </c>
      <c r="G197">
        <v>1898.14</v>
      </c>
      <c r="H197">
        <v>828.81</v>
      </c>
      <c r="I197">
        <v>293077.38</v>
      </c>
      <c r="J197">
        <v>-2726.95</v>
      </c>
    </row>
    <row r="198" spans="1:10" x14ac:dyDescent="0.35">
      <c r="A198">
        <v>177</v>
      </c>
      <c r="B198">
        <v>7.7499999999999999E-2</v>
      </c>
      <c r="C198">
        <v>6.45833E-3</v>
      </c>
      <c r="D198">
        <v>2726.95</v>
      </c>
      <c r="E198">
        <v>0</v>
      </c>
      <c r="F198">
        <v>2726.95</v>
      </c>
      <c r="G198">
        <v>1892.79</v>
      </c>
      <c r="H198">
        <v>834.16</v>
      </c>
      <c r="I198">
        <v>292243.21999999997</v>
      </c>
      <c r="J198">
        <v>-2726.95</v>
      </c>
    </row>
    <row r="199" spans="1:10" x14ac:dyDescent="0.35">
      <c r="A199">
        <v>178</v>
      </c>
      <c r="B199">
        <v>7.7499999999999999E-2</v>
      </c>
      <c r="C199">
        <v>6.45833E-3</v>
      </c>
      <c r="D199">
        <v>2726.95</v>
      </c>
      <c r="E199">
        <v>0</v>
      </c>
      <c r="F199">
        <v>2726.95</v>
      </c>
      <c r="G199">
        <v>1887.4</v>
      </c>
      <c r="H199">
        <v>839.55</v>
      </c>
      <c r="I199">
        <v>291403.67</v>
      </c>
      <c r="J199">
        <v>-2726.95</v>
      </c>
    </row>
    <row r="200" spans="1:10" x14ac:dyDescent="0.35">
      <c r="A200">
        <v>179</v>
      </c>
      <c r="B200">
        <v>7.7499999999999999E-2</v>
      </c>
      <c r="C200">
        <v>6.45833E-3</v>
      </c>
      <c r="D200">
        <v>2726.95</v>
      </c>
      <c r="E200">
        <v>0</v>
      </c>
      <c r="F200">
        <v>2726.95</v>
      </c>
      <c r="G200">
        <v>1881.98</v>
      </c>
      <c r="H200">
        <v>844.97</v>
      </c>
      <c r="I200">
        <v>290558.7</v>
      </c>
      <c r="J200">
        <v>-2726.95</v>
      </c>
    </row>
    <row r="201" spans="1:10" x14ac:dyDescent="0.35">
      <c r="A201">
        <v>180</v>
      </c>
      <c r="B201">
        <v>7.7499999999999999E-2</v>
      </c>
      <c r="C201">
        <v>6.45833E-3</v>
      </c>
      <c r="D201">
        <v>2726.95</v>
      </c>
      <c r="E201">
        <v>0</v>
      </c>
      <c r="F201">
        <v>2726.95</v>
      </c>
      <c r="G201">
        <v>1876.52</v>
      </c>
      <c r="H201">
        <v>850.43</v>
      </c>
      <c r="I201">
        <v>289708.27</v>
      </c>
      <c r="J201">
        <v>-2726.95</v>
      </c>
    </row>
    <row r="202" spans="1:10" x14ac:dyDescent="0.35">
      <c r="A202">
        <v>181</v>
      </c>
      <c r="B202">
        <v>7.7499999999999999E-2</v>
      </c>
      <c r="C202">
        <v>6.45833E-3</v>
      </c>
      <c r="D202">
        <v>2726.95</v>
      </c>
      <c r="E202">
        <v>0</v>
      </c>
      <c r="F202">
        <v>2726.95</v>
      </c>
      <c r="G202">
        <v>1871.03</v>
      </c>
      <c r="H202">
        <v>855.92</v>
      </c>
      <c r="I202">
        <v>288852.34999999998</v>
      </c>
      <c r="J202">
        <v>-2726.95</v>
      </c>
    </row>
    <row r="203" spans="1:10" x14ac:dyDescent="0.35">
      <c r="A203">
        <v>182</v>
      </c>
      <c r="B203">
        <v>7.7499999999999999E-2</v>
      </c>
      <c r="C203">
        <v>6.45833E-3</v>
      </c>
      <c r="D203">
        <v>2726.95</v>
      </c>
      <c r="E203">
        <v>0</v>
      </c>
      <c r="F203">
        <v>2726.95</v>
      </c>
      <c r="G203">
        <v>1865.5</v>
      </c>
      <c r="H203">
        <v>861.45</v>
      </c>
      <c r="I203">
        <v>287990.90000000002</v>
      </c>
      <c r="J203">
        <v>-2726.95</v>
      </c>
    </row>
    <row r="204" spans="1:10" x14ac:dyDescent="0.35">
      <c r="A204">
        <v>183</v>
      </c>
      <c r="B204">
        <v>7.7499999999999999E-2</v>
      </c>
      <c r="C204">
        <v>6.45833E-3</v>
      </c>
      <c r="D204">
        <v>2726.95</v>
      </c>
      <c r="E204">
        <v>0</v>
      </c>
      <c r="F204">
        <v>2726.95</v>
      </c>
      <c r="G204">
        <v>1859.94</v>
      </c>
      <c r="H204">
        <v>867.01</v>
      </c>
      <c r="I204">
        <v>287123.89</v>
      </c>
      <c r="J204">
        <v>-2726.95</v>
      </c>
    </row>
    <row r="205" spans="1:10" x14ac:dyDescent="0.35">
      <c r="A205">
        <v>184</v>
      </c>
      <c r="B205">
        <v>7.7499999999999999E-2</v>
      </c>
      <c r="C205">
        <v>6.45833E-3</v>
      </c>
      <c r="D205">
        <v>2726.95</v>
      </c>
      <c r="E205">
        <v>0</v>
      </c>
      <c r="F205">
        <v>2726.95</v>
      </c>
      <c r="G205">
        <v>1854.34</v>
      </c>
      <c r="H205">
        <v>872.61</v>
      </c>
      <c r="I205">
        <v>286251.28000000003</v>
      </c>
      <c r="J205">
        <v>-2726.95</v>
      </c>
    </row>
    <row r="206" spans="1:10" x14ac:dyDescent="0.35">
      <c r="A206">
        <v>185</v>
      </c>
      <c r="B206">
        <v>7.7499999999999999E-2</v>
      </c>
      <c r="C206">
        <v>6.45833E-3</v>
      </c>
      <c r="D206">
        <v>2726.95</v>
      </c>
      <c r="E206">
        <v>0</v>
      </c>
      <c r="F206">
        <v>2726.95</v>
      </c>
      <c r="G206">
        <v>1848.71</v>
      </c>
      <c r="H206">
        <v>878.25</v>
      </c>
      <c r="I206">
        <v>285373.03000000003</v>
      </c>
      <c r="J206">
        <v>-2726.95</v>
      </c>
    </row>
    <row r="207" spans="1:10" x14ac:dyDescent="0.35">
      <c r="A207">
        <v>186</v>
      </c>
      <c r="B207">
        <v>7.7499999999999999E-2</v>
      </c>
      <c r="C207">
        <v>6.45833E-3</v>
      </c>
      <c r="D207">
        <v>2726.95</v>
      </c>
      <c r="E207">
        <v>0</v>
      </c>
      <c r="F207">
        <v>2726.95</v>
      </c>
      <c r="G207">
        <v>1843.03</v>
      </c>
      <c r="H207">
        <v>883.92</v>
      </c>
      <c r="I207">
        <v>284489.11</v>
      </c>
      <c r="J207">
        <v>-2726.95</v>
      </c>
    </row>
    <row r="208" spans="1:10" x14ac:dyDescent="0.35">
      <c r="A208">
        <v>187</v>
      </c>
      <c r="B208">
        <v>7.7499999999999999E-2</v>
      </c>
      <c r="C208">
        <v>6.45833E-3</v>
      </c>
      <c r="D208">
        <v>2726.95</v>
      </c>
      <c r="E208">
        <v>0</v>
      </c>
      <c r="F208">
        <v>2726.95</v>
      </c>
      <c r="G208">
        <v>1837.33</v>
      </c>
      <c r="H208">
        <v>889.63</v>
      </c>
      <c r="I208">
        <v>283599.48</v>
      </c>
      <c r="J208">
        <v>-2726.95</v>
      </c>
    </row>
    <row r="209" spans="1:10" x14ac:dyDescent="0.35">
      <c r="A209">
        <v>188</v>
      </c>
      <c r="B209">
        <v>7.7499999999999999E-2</v>
      </c>
      <c r="C209">
        <v>6.45833E-3</v>
      </c>
      <c r="D209">
        <v>2726.95</v>
      </c>
      <c r="E209">
        <v>0</v>
      </c>
      <c r="F209">
        <v>2726.95</v>
      </c>
      <c r="G209">
        <v>1831.58</v>
      </c>
      <c r="H209">
        <v>895.37</v>
      </c>
      <c r="I209">
        <v>282704.11</v>
      </c>
      <c r="J209">
        <v>-2726.95</v>
      </c>
    </row>
    <row r="210" spans="1:10" x14ac:dyDescent="0.35">
      <c r="A210">
        <v>189</v>
      </c>
      <c r="B210">
        <v>7.7499999999999999E-2</v>
      </c>
      <c r="C210">
        <v>6.45833E-3</v>
      </c>
      <c r="D210">
        <v>2726.95</v>
      </c>
      <c r="E210">
        <v>0</v>
      </c>
      <c r="F210">
        <v>2726.95</v>
      </c>
      <c r="G210">
        <v>1825.8</v>
      </c>
      <c r="H210">
        <v>901.16</v>
      </c>
      <c r="I210">
        <v>281802.95</v>
      </c>
      <c r="J210">
        <v>-2726.95</v>
      </c>
    </row>
    <row r="211" spans="1:10" x14ac:dyDescent="0.35">
      <c r="A211">
        <v>190</v>
      </c>
      <c r="B211">
        <v>7.7499999999999999E-2</v>
      </c>
      <c r="C211">
        <v>6.45833E-3</v>
      </c>
      <c r="D211">
        <v>2726.95</v>
      </c>
      <c r="E211">
        <v>0</v>
      </c>
      <c r="F211">
        <v>2726.95</v>
      </c>
      <c r="G211">
        <v>1819.98</v>
      </c>
      <c r="H211">
        <v>906.98</v>
      </c>
      <c r="I211">
        <v>280895.98</v>
      </c>
      <c r="J211">
        <v>-2726.95</v>
      </c>
    </row>
    <row r="212" spans="1:10" x14ac:dyDescent="0.35">
      <c r="A212">
        <v>191</v>
      </c>
      <c r="B212">
        <v>7.7499999999999999E-2</v>
      </c>
      <c r="C212">
        <v>6.45833E-3</v>
      </c>
      <c r="D212">
        <v>2726.95</v>
      </c>
      <c r="E212">
        <v>0</v>
      </c>
      <c r="F212">
        <v>2726.95</v>
      </c>
      <c r="G212">
        <v>1814.12</v>
      </c>
      <c r="H212">
        <v>912.83</v>
      </c>
      <c r="I212">
        <v>279983.14</v>
      </c>
      <c r="J212">
        <v>-2726.95</v>
      </c>
    </row>
    <row r="213" spans="1:10" x14ac:dyDescent="0.35">
      <c r="A213">
        <v>192</v>
      </c>
      <c r="B213">
        <v>7.7499999999999999E-2</v>
      </c>
      <c r="C213">
        <v>6.45833E-3</v>
      </c>
      <c r="D213">
        <v>2726.95</v>
      </c>
      <c r="E213">
        <v>0</v>
      </c>
      <c r="F213">
        <v>2726.95</v>
      </c>
      <c r="G213">
        <v>1808.22</v>
      </c>
      <c r="H213">
        <v>918.73</v>
      </c>
      <c r="I213">
        <v>279064.40999999997</v>
      </c>
      <c r="J213">
        <v>-2726.95</v>
      </c>
    </row>
    <row r="214" spans="1:10" x14ac:dyDescent="0.35">
      <c r="A214">
        <v>193</v>
      </c>
      <c r="B214">
        <v>7.7499999999999999E-2</v>
      </c>
      <c r="C214">
        <v>6.45833E-3</v>
      </c>
      <c r="D214">
        <v>2726.95</v>
      </c>
      <c r="E214">
        <v>0</v>
      </c>
      <c r="F214">
        <v>2726.95</v>
      </c>
      <c r="G214">
        <v>1802.29</v>
      </c>
      <c r="H214">
        <v>924.66</v>
      </c>
      <c r="I214">
        <v>278139.75</v>
      </c>
      <c r="J214">
        <v>-2726.95</v>
      </c>
    </row>
    <row r="215" spans="1:10" x14ac:dyDescent="0.35">
      <c r="A215">
        <v>194</v>
      </c>
      <c r="B215">
        <v>7.7499999999999999E-2</v>
      </c>
      <c r="C215">
        <v>6.45833E-3</v>
      </c>
      <c r="D215">
        <v>2726.95</v>
      </c>
      <c r="E215">
        <v>0</v>
      </c>
      <c r="F215">
        <v>2726.95</v>
      </c>
      <c r="G215">
        <v>1796.32</v>
      </c>
      <c r="H215">
        <v>930.63</v>
      </c>
      <c r="I215">
        <v>277209.11</v>
      </c>
      <c r="J215">
        <v>-2726.95</v>
      </c>
    </row>
    <row r="216" spans="1:10" x14ac:dyDescent="0.35">
      <c r="A216">
        <v>195</v>
      </c>
      <c r="B216">
        <v>7.7499999999999999E-2</v>
      </c>
      <c r="C216">
        <v>6.45833E-3</v>
      </c>
      <c r="D216">
        <v>2726.95</v>
      </c>
      <c r="E216">
        <v>0</v>
      </c>
      <c r="F216">
        <v>2726.95</v>
      </c>
      <c r="G216">
        <v>1790.31</v>
      </c>
      <c r="H216">
        <v>936.64</v>
      </c>
      <c r="I216">
        <v>276272.46999999997</v>
      </c>
      <c r="J216">
        <v>-2726.95</v>
      </c>
    </row>
    <row r="217" spans="1:10" x14ac:dyDescent="0.35">
      <c r="A217">
        <v>196</v>
      </c>
      <c r="B217">
        <v>7.7499999999999999E-2</v>
      </c>
      <c r="C217">
        <v>6.45833E-3</v>
      </c>
      <c r="D217">
        <v>2726.95</v>
      </c>
      <c r="E217">
        <v>0</v>
      </c>
      <c r="F217">
        <v>2726.95</v>
      </c>
      <c r="G217">
        <v>1784.26</v>
      </c>
      <c r="H217">
        <v>942.69</v>
      </c>
      <c r="I217">
        <v>275329.78000000003</v>
      </c>
      <c r="J217">
        <v>-2726.95</v>
      </c>
    </row>
    <row r="218" spans="1:10" x14ac:dyDescent="0.35">
      <c r="A218">
        <v>197</v>
      </c>
      <c r="B218">
        <v>7.7499999999999999E-2</v>
      </c>
      <c r="C218">
        <v>6.45833E-3</v>
      </c>
      <c r="D218">
        <v>2726.95</v>
      </c>
      <c r="E218">
        <v>0</v>
      </c>
      <c r="F218">
        <v>2726.95</v>
      </c>
      <c r="G218">
        <v>1778.17</v>
      </c>
      <c r="H218">
        <v>948.78</v>
      </c>
      <c r="I218">
        <v>274380.99</v>
      </c>
      <c r="J218">
        <v>-2726.95</v>
      </c>
    </row>
    <row r="219" spans="1:10" x14ac:dyDescent="0.35">
      <c r="A219">
        <v>198</v>
      </c>
      <c r="B219">
        <v>7.7499999999999999E-2</v>
      </c>
      <c r="C219">
        <v>6.45833E-3</v>
      </c>
      <c r="D219">
        <v>2726.95</v>
      </c>
      <c r="E219">
        <v>0</v>
      </c>
      <c r="F219">
        <v>2726.95</v>
      </c>
      <c r="G219">
        <v>1772.04</v>
      </c>
      <c r="H219">
        <v>954.91</v>
      </c>
      <c r="I219">
        <v>273426.08</v>
      </c>
      <c r="J219">
        <v>-2726.95</v>
      </c>
    </row>
    <row r="220" spans="1:10" x14ac:dyDescent="0.35">
      <c r="A220">
        <v>199</v>
      </c>
      <c r="B220">
        <v>7.7499999999999999E-2</v>
      </c>
      <c r="C220">
        <v>6.45833E-3</v>
      </c>
      <c r="D220">
        <v>2726.95</v>
      </c>
      <c r="E220">
        <v>0</v>
      </c>
      <c r="F220">
        <v>2726.95</v>
      </c>
      <c r="G220">
        <v>1765.88</v>
      </c>
      <c r="H220">
        <v>961.08</v>
      </c>
      <c r="I220">
        <v>272465.01</v>
      </c>
      <c r="J220">
        <v>-2726.95</v>
      </c>
    </row>
    <row r="221" spans="1:10" x14ac:dyDescent="0.35">
      <c r="A221">
        <v>200</v>
      </c>
      <c r="B221">
        <v>7.7499999999999999E-2</v>
      </c>
      <c r="C221">
        <v>6.45833E-3</v>
      </c>
      <c r="D221">
        <v>2726.95</v>
      </c>
      <c r="E221">
        <v>0</v>
      </c>
      <c r="F221">
        <v>2726.95</v>
      </c>
      <c r="G221">
        <v>1759.67</v>
      </c>
      <c r="H221">
        <v>967.28</v>
      </c>
      <c r="I221">
        <v>271497.71999999997</v>
      </c>
      <c r="J221">
        <v>-2726.95</v>
      </c>
    </row>
    <row r="222" spans="1:10" x14ac:dyDescent="0.35">
      <c r="A222">
        <v>201</v>
      </c>
      <c r="B222">
        <v>7.7499999999999999E-2</v>
      </c>
      <c r="C222">
        <v>6.45833E-3</v>
      </c>
      <c r="D222">
        <v>2726.95</v>
      </c>
      <c r="E222">
        <v>0</v>
      </c>
      <c r="F222">
        <v>2726.95</v>
      </c>
      <c r="G222">
        <v>1753.42</v>
      </c>
      <c r="H222">
        <v>973.53</v>
      </c>
      <c r="I222">
        <v>270524.19</v>
      </c>
      <c r="J222">
        <v>-2726.95</v>
      </c>
    </row>
    <row r="223" spans="1:10" x14ac:dyDescent="0.35">
      <c r="A223">
        <v>202</v>
      </c>
      <c r="B223">
        <v>7.7499999999999999E-2</v>
      </c>
      <c r="C223">
        <v>6.45833E-3</v>
      </c>
      <c r="D223">
        <v>2726.95</v>
      </c>
      <c r="E223">
        <v>0</v>
      </c>
      <c r="F223">
        <v>2726.95</v>
      </c>
      <c r="G223">
        <v>1747.14</v>
      </c>
      <c r="H223">
        <v>979.82</v>
      </c>
      <c r="I223">
        <v>269544.37</v>
      </c>
      <c r="J223">
        <v>-2726.95</v>
      </c>
    </row>
    <row r="224" spans="1:10" x14ac:dyDescent="0.35">
      <c r="A224">
        <v>203</v>
      </c>
      <c r="B224">
        <v>7.7499999999999999E-2</v>
      </c>
      <c r="C224">
        <v>6.45833E-3</v>
      </c>
      <c r="D224">
        <v>2726.95</v>
      </c>
      <c r="E224">
        <v>0</v>
      </c>
      <c r="F224">
        <v>2726.95</v>
      </c>
      <c r="G224">
        <v>1740.81</v>
      </c>
      <c r="H224">
        <v>986.15</v>
      </c>
      <c r="I224">
        <v>268558.23</v>
      </c>
      <c r="J224">
        <v>-2726.95</v>
      </c>
    </row>
    <row r="225" spans="1:10" x14ac:dyDescent="0.35">
      <c r="A225">
        <v>204</v>
      </c>
      <c r="B225">
        <v>7.7499999999999999E-2</v>
      </c>
      <c r="C225">
        <v>6.45833E-3</v>
      </c>
      <c r="D225">
        <v>2726.95</v>
      </c>
      <c r="E225">
        <v>0</v>
      </c>
      <c r="F225">
        <v>2726.95</v>
      </c>
      <c r="G225">
        <v>1734.44</v>
      </c>
      <c r="H225">
        <v>992.52</v>
      </c>
      <c r="I225">
        <v>267565.71000000002</v>
      </c>
      <c r="J225">
        <v>-2726.95</v>
      </c>
    </row>
    <row r="226" spans="1:10" x14ac:dyDescent="0.35">
      <c r="A226">
        <v>205</v>
      </c>
      <c r="B226">
        <v>7.7499999999999999E-2</v>
      </c>
      <c r="C226">
        <v>6.45833E-3</v>
      </c>
      <c r="D226">
        <v>2726.95</v>
      </c>
      <c r="E226">
        <v>0</v>
      </c>
      <c r="F226">
        <v>2726.95</v>
      </c>
      <c r="G226">
        <v>1728.03</v>
      </c>
      <c r="H226">
        <v>998.93</v>
      </c>
      <c r="I226">
        <v>266566.78999999998</v>
      </c>
      <c r="J226">
        <v>-2726.95</v>
      </c>
    </row>
    <row r="227" spans="1:10" x14ac:dyDescent="0.35">
      <c r="A227">
        <v>206</v>
      </c>
      <c r="B227">
        <v>7.7499999999999999E-2</v>
      </c>
      <c r="C227">
        <v>6.45833E-3</v>
      </c>
      <c r="D227">
        <v>2726.95</v>
      </c>
      <c r="E227">
        <v>0</v>
      </c>
      <c r="F227">
        <v>2726.95</v>
      </c>
      <c r="G227">
        <v>1721.58</v>
      </c>
      <c r="H227">
        <v>1005.38</v>
      </c>
      <c r="I227">
        <v>265561.40999999997</v>
      </c>
      <c r="J227">
        <v>-2726.95</v>
      </c>
    </row>
    <row r="228" spans="1:10" x14ac:dyDescent="0.35">
      <c r="A228">
        <v>207</v>
      </c>
      <c r="B228">
        <v>7.7499999999999999E-2</v>
      </c>
      <c r="C228">
        <v>6.45833E-3</v>
      </c>
      <c r="D228">
        <v>2726.95</v>
      </c>
      <c r="E228">
        <v>0</v>
      </c>
      <c r="F228">
        <v>2726.95</v>
      </c>
      <c r="G228">
        <v>1715.08</v>
      </c>
      <c r="H228">
        <v>1011.87</v>
      </c>
      <c r="I228">
        <v>264549.53999999998</v>
      </c>
      <c r="J228">
        <v>-2726.95</v>
      </c>
    </row>
    <row r="229" spans="1:10" x14ac:dyDescent="0.35">
      <c r="A229">
        <v>208</v>
      </c>
      <c r="B229">
        <v>7.7499999999999999E-2</v>
      </c>
      <c r="C229">
        <v>6.45833E-3</v>
      </c>
      <c r="D229">
        <v>2726.95</v>
      </c>
      <c r="E229">
        <v>0</v>
      </c>
      <c r="F229">
        <v>2726.95</v>
      </c>
      <c r="G229">
        <v>1708.55</v>
      </c>
      <c r="H229">
        <v>1018.4</v>
      </c>
      <c r="I229">
        <v>263531.14</v>
      </c>
      <c r="J229">
        <v>-2726.95</v>
      </c>
    </row>
    <row r="230" spans="1:10" x14ac:dyDescent="0.35">
      <c r="A230">
        <v>209</v>
      </c>
      <c r="B230">
        <v>7.7499999999999999E-2</v>
      </c>
      <c r="C230">
        <v>6.45833E-3</v>
      </c>
      <c r="D230">
        <v>2726.95</v>
      </c>
      <c r="E230">
        <v>0</v>
      </c>
      <c r="F230">
        <v>2726.95</v>
      </c>
      <c r="G230">
        <v>1701.97</v>
      </c>
      <c r="H230">
        <v>1024.98</v>
      </c>
      <c r="I230">
        <v>262506.15000000002</v>
      </c>
      <c r="J230">
        <v>-2726.95</v>
      </c>
    </row>
    <row r="231" spans="1:10" x14ac:dyDescent="0.35">
      <c r="A231">
        <v>210</v>
      </c>
      <c r="B231">
        <v>7.7499999999999999E-2</v>
      </c>
      <c r="C231">
        <v>6.45833E-3</v>
      </c>
      <c r="D231">
        <v>2726.95</v>
      </c>
      <c r="E231">
        <v>0</v>
      </c>
      <c r="F231">
        <v>2726.95</v>
      </c>
      <c r="G231">
        <v>1695.35</v>
      </c>
      <c r="H231">
        <v>1031.5999999999999</v>
      </c>
      <c r="I231">
        <v>261474.55</v>
      </c>
      <c r="J231">
        <v>-2726.95</v>
      </c>
    </row>
    <row r="232" spans="1:10" x14ac:dyDescent="0.35">
      <c r="A232">
        <v>211</v>
      </c>
      <c r="B232">
        <v>7.7499999999999999E-2</v>
      </c>
      <c r="C232">
        <v>6.45833E-3</v>
      </c>
      <c r="D232">
        <v>2726.95</v>
      </c>
      <c r="E232">
        <v>0</v>
      </c>
      <c r="F232">
        <v>2726.95</v>
      </c>
      <c r="G232">
        <v>1688.69</v>
      </c>
      <c r="H232">
        <v>1038.26</v>
      </c>
      <c r="I232">
        <v>260436.29</v>
      </c>
      <c r="J232">
        <v>-2726.95</v>
      </c>
    </row>
    <row r="233" spans="1:10" x14ac:dyDescent="0.35">
      <c r="A233">
        <v>212</v>
      </c>
      <c r="B233">
        <v>7.7499999999999999E-2</v>
      </c>
      <c r="C233">
        <v>6.45833E-3</v>
      </c>
      <c r="D233">
        <v>2726.95</v>
      </c>
      <c r="E233">
        <v>0</v>
      </c>
      <c r="F233">
        <v>2726.95</v>
      </c>
      <c r="G233">
        <v>1681.98</v>
      </c>
      <c r="H233">
        <v>1044.97</v>
      </c>
      <c r="I233">
        <v>259391.32</v>
      </c>
      <c r="J233">
        <v>-2726.95</v>
      </c>
    </row>
    <row r="234" spans="1:10" x14ac:dyDescent="0.35">
      <c r="A234">
        <v>213</v>
      </c>
      <c r="B234">
        <v>7.7499999999999999E-2</v>
      </c>
      <c r="C234">
        <v>6.45833E-3</v>
      </c>
      <c r="D234">
        <v>2726.95</v>
      </c>
      <c r="E234">
        <v>0</v>
      </c>
      <c r="F234">
        <v>2726.95</v>
      </c>
      <c r="G234">
        <v>1675.24</v>
      </c>
      <c r="H234">
        <v>1051.72</v>
      </c>
      <c r="I234">
        <v>258339.6</v>
      </c>
      <c r="J234">
        <v>-2726.95</v>
      </c>
    </row>
    <row r="235" spans="1:10" x14ac:dyDescent="0.35">
      <c r="A235">
        <v>214</v>
      </c>
      <c r="B235">
        <v>7.7499999999999999E-2</v>
      </c>
      <c r="C235">
        <v>6.45833E-3</v>
      </c>
      <c r="D235">
        <v>2726.95</v>
      </c>
      <c r="E235">
        <v>0</v>
      </c>
      <c r="F235">
        <v>2726.95</v>
      </c>
      <c r="G235">
        <v>1668.44</v>
      </c>
      <c r="H235">
        <v>1058.51</v>
      </c>
      <c r="I235">
        <v>257281.09</v>
      </c>
      <c r="J235">
        <v>-2726.95</v>
      </c>
    </row>
    <row r="236" spans="1:10" x14ac:dyDescent="0.35">
      <c r="A236">
        <v>215</v>
      </c>
      <c r="B236">
        <v>7.7499999999999999E-2</v>
      </c>
      <c r="C236">
        <v>6.45833E-3</v>
      </c>
      <c r="D236">
        <v>2726.95</v>
      </c>
      <c r="E236">
        <v>0</v>
      </c>
      <c r="F236">
        <v>2726.95</v>
      </c>
      <c r="G236">
        <v>1661.61</v>
      </c>
      <c r="H236">
        <v>1065.3499999999999</v>
      </c>
      <c r="I236">
        <v>256215.74</v>
      </c>
      <c r="J236">
        <v>-2726.95</v>
      </c>
    </row>
    <row r="237" spans="1:10" x14ac:dyDescent="0.35">
      <c r="A237">
        <v>216</v>
      </c>
      <c r="B237">
        <v>7.7499999999999999E-2</v>
      </c>
      <c r="C237">
        <v>6.45833E-3</v>
      </c>
      <c r="D237">
        <v>2726.95</v>
      </c>
      <c r="E237">
        <v>0</v>
      </c>
      <c r="F237">
        <v>2726.95</v>
      </c>
      <c r="G237">
        <v>1654.73</v>
      </c>
      <c r="H237">
        <v>1072.23</v>
      </c>
      <c r="I237">
        <v>255143.52</v>
      </c>
      <c r="J237">
        <v>-2726.95</v>
      </c>
    </row>
    <row r="238" spans="1:10" x14ac:dyDescent="0.35">
      <c r="A238">
        <v>217</v>
      </c>
      <c r="B238">
        <v>7.7499999999999999E-2</v>
      </c>
      <c r="C238">
        <v>6.45833E-3</v>
      </c>
      <c r="D238">
        <v>2726.95</v>
      </c>
      <c r="E238">
        <v>0</v>
      </c>
      <c r="F238">
        <v>2726.95</v>
      </c>
      <c r="G238">
        <v>1647.8</v>
      </c>
      <c r="H238">
        <v>1079.1500000000001</v>
      </c>
      <c r="I238">
        <v>254064.37</v>
      </c>
      <c r="J238">
        <v>-2726.95</v>
      </c>
    </row>
    <row r="239" spans="1:10" x14ac:dyDescent="0.35">
      <c r="A239">
        <v>218</v>
      </c>
      <c r="B239">
        <v>7.7499999999999999E-2</v>
      </c>
      <c r="C239">
        <v>6.45833E-3</v>
      </c>
      <c r="D239">
        <v>2726.95</v>
      </c>
      <c r="E239">
        <v>0</v>
      </c>
      <c r="F239">
        <v>2726.95</v>
      </c>
      <c r="G239">
        <v>1640.83</v>
      </c>
      <c r="H239">
        <v>1086.1199999999999</v>
      </c>
      <c r="I239">
        <v>252978.24</v>
      </c>
      <c r="J239">
        <v>-2726.95</v>
      </c>
    </row>
    <row r="240" spans="1:10" x14ac:dyDescent="0.35">
      <c r="A240">
        <v>219</v>
      </c>
      <c r="B240">
        <v>7.7499999999999999E-2</v>
      </c>
      <c r="C240">
        <v>6.45833E-3</v>
      </c>
      <c r="D240">
        <v>2726.95</v>
      </c>
      <c r="E240">
        <v>0</v>
      </c>
      <c r="F240">
        <v>2726.95</v>
      </c>
      <c r="G240">
        <v>1633.82</v>
      </c>
      <c r="H240">
        <v>1093.1400000000001</v>
      </c>
      <c r="I240">
        <v>251885.11</v>
      </c>
      <c r="J240">
        <v>-2726.95</v>
      </c>
    </row>
    <row r="241" spans="1:10" x14ac:dyDescent="0.35">
      <c r="A241">
        <v>220</v>
      </c>
      <c r="B241">
        <v>7.7499999999999999E-2</v>
      </c>
      <c r="C241">
        <v>6.45833E-3</v>
      </c>
      <c r="D241">
        <v>2726.95</v>
      </c>
      <c r="E241">
        <v>0</v>
      </c>
      <c r="F241">
        <v>2726.95</v>
      </c>
      <c r="G241">
        <v>1626.76</v>
      </c>
      <c r="H241">
        <v>1100.2</v>
      </c>
      <c r="I241">
        <v>250784.91</v>
      </c>
      <c r="J241">
        <v>-2726.95</v>
      </c>
    </row>
    <row r="242" spans="1:10" x14ac:dyDescent="0.35">
      <c r="A242">
        <v>221</v>
      </c>
      <c r="B242">
        <v>7.7499999999999999E-2</v>
      </c>
      <c r="C242">
        <v>6.45833E-3</v>
      </c>
      <c r="D242">
        <v>2726.95</v>
      </c>
      <c r="E242">
        <v>0</v>
      </c>
      <c r="F242">
        <v>2726.95</v>
      </c>
      <c r="G242">
        <v>1619.65</v>
      </c>
      <c r="H242">
        <v>1107.3</v>
      </c>
      <c r="I242">
        <v>249677.61</v>
      </c>
      <c r="J242">
        <v>-2726.95</v>
      </c>
    </row>
    <row r="243" spans="1:10" x14ac:dyDescent="0.35">
      <c r="A243">
        <v>222</v>
      </c>
      <c r="B243">
        <v>7.7499999999999999E-2</v>
      </c>
      <c r="C243">
        <v>6.45833E-3</v>
      </c>
      <c r="D243">
        <v>2726.95</v>
      </c>
      <c r="E243">
        <v>0</v>
      </c>
      <c r="F243">
        <v>2726.95</v>
      </c>
      <c r="G243">
        <v>1612.5</v>
      </c>
      <c r="H243">
        <v>1114.45</v>
      </c>
      <c r="I243">
        <v>248563.16</v>
      </c>
      <c r="J243">
        <v>-2726.95</v>
      </c>
    </row>
    <row r="244" spans="1:10" x14ac:dyDescent="0.35">
      <c r="A244">
        <v>223</v>
      </c>
      <c r="B244">
        <v>7.7499999999999999E-2</v>
      </c>
      <c r="C244">
        <v>6.45833E-3</v>
      </c>
      <c r="D244">
        <v>2726.95</v>
      </c>
      <c r="E244">
        <v>0</v>
      </c>
      <c r="F244">
        <v>2726.95</v>
      </c>
      <c r="G244">
        <v>1605.3</v>
      </c>
      <c r="H244">
        <v>1121.6500000000001</v>
      </c>
      <c r="I244">
        <v>247441.51</v>
      </c>
      <c r="J244">
        <v>-2726.95</v>
      </c>
    </row>
    <row r="245" spans="1:10" x14ac:dyDescent="0.35">
      <c r="A245">
        <v>224</v>
      </c>
      <c r="B245">
        <v>7.7499999999999999E-2</v>
      </c>
      <c r="C245">
        <v>6.45833E-3</v>
      </c>
      <c r="D245">
        <v>2726.95</v>
      </c>
      <c r="E245">
        <v>0</v>
      </c>
      <c r="F245">
        <v>2726.95</v>
      </c>
      <c r="G245">
        <v>1598.06</v>
      </c>
      <c r="H245">
        <v>1128.8900000000001</v>
      </c>
      <c r="I245">
        <v>246312.62</v>
      </c>
      <c r="J245">
        <v>-2726.95</v>
      </c>
    </row>
    <row r="246" spans="1:10" x14ac:dyDescent="0.35">
      <c r="A246">
        <v>225</v>
      </c>
      <c r="B246">
        <v>7.7499999999999999E-2</v>
      </c>
      <c r="C246">
        <v>6.45833E-3</v>
      </c>
      <c r="D246">
        <v>2726.95</v>
      </c>
      <c r="E246">
        <v>0</v>
      </c>
      <c r="F246">
        <v>2726.95</v>
      </c>
      <c r="G246">
        <v>1590.77</v>
      </c>
      <c r="H246">
        <v>1136.18</v>
      </c>
      <c r="I246">
        <v>245176.43</v>
      </c>
      <c r="J246">
        <v>-2726.95</v>
      </c>
    </row>
    <row r="247" spans="1:10" x14ac:dyDescent="0.35">
      <c r="A247">
        <v>226</v>
      </c>
      <c r="B247">
        <v>7.7499999999999999E-2</v>
      </c>
      <c r="C247">
        <v>6.45833E-3</v>
      </c>
      <c r="D247">
        <v>2726.95</v>
      </c>
      <c r="E247">
        <v>0</v>
      </c>
      <c r="F247">
        <v>2726.95</v>
      </c>
      <c r="G247">
        <v>1583.43</v>
      </c>
      <c r="H247">
        <v>1143.52</v>
      </c>
      <c r="I247">
        <v>244032.91</v>
      </c>
      <c r="J247">
        <v>-2726.95</v>
      </c>
    </row>
    <row r="248" spans="1:10" x14ac:dyDescent="0.35">
      <c r="A248">
        <v>227</v>
      </c>
      <c r="B248">
        <v>7.7499999999999999E-2</v>
      </c>
      <c r="C248">
        <v>6.45833E-3</v>
      </c>
      <c r="D248">
        <v>2726.95</v>
      </c>
      <c r="E248">
        <v>0</v>
      </c>
      <c r="F248">
        <v>2726.95</v>
      </c>
      <c r="G248">
        <v>1576.05</v>
      </c>
      <c r="H248">
        <v>1150.9100000000001</v>
      </c>
      <c r="I248">
        <v>242882</v>
      </c>
      <c r="J248">
        <v>-2726.95</v>
      </c>
    </row>
    <row r="249" spans="1:10" x14ac:dyDescent="0.35">
      <c r="A249">
        <v>228</v>
      </c>
      <c r="B249">
        <v>7.7499999999999999E-2</v>
      </c>
      <c r="C249">
        <v>6.45833E-3</v>
      </c>
      <c r="D249">
        <v>2726.95</v>
      </c>
      <c r="E249">
        <v>0</v>
      </c>
      <c r="F249">
        <v>2726.95</v>
      </c>
      <c r="G249">
        <v>1568.61</v>
      </c>
      <c r="H249">
        <v>1158.3399999999999</v>
      </c>
      <c r="I249">
        <v>241723.66</v>
      </c>
      <c r="J249">
        <v>-2726.95</v>
      </c>
    </row>
    <row r="250" spans="1:10" x14ac:dyDescent="0.35">
      <c r="A250">
        <v>229</v>
      </c>
      <c r="B250">
        <v>7.7499999999999999E-2</v>
      </c>
      <c r="C250">
        <v>6.45833E-3</v>
      </c>
      <c r="D250">
        <v>2726.95</v>
      </c>
      <c r="E250">
        <v>0</v>
      </c>
      <c r="F250">
        <v>2726.95</v>
      </c>
      <c r="G250">
        <v>1561.13</v>
      </c>
      <c r="H250">
        <v>1165.82</v>
      </c>
      <c r="I250">
        <v>240557.84</v>
      </c>
      <c r="J250">
        <v>-2726.95</v>
      </c>
    </row>
    <row r="251" spans="1:10" x14ac:dyDescent="0.35">
      <c r="A251">
        <v>230</v>
      </c>
      <c r="B251">
        <v>7.7499999999999999E-2</v>
      </c>
      <c r="C251">
        <v>6.45833E-3</v>
      </c>
      <c r="D251">
        <v>2726.95</v>
      </c>
      <c r="E251">
        <v>0</v>
      </c>
      <c r="F251">
        <v>2726.95</v>
      </c>
      <c r="G251">
        <v>1553.6</v>
      </c>
      <c r="H251">
        <v>1173.3499999999999</v>
      </c>
      <c r="I251">
        <v>239384.49</v>
      </c>
      <c r="J251">
        <v>-2726.95</v>
      </c>
    </row>
    <row r="252" spans="1:10" x14ac:dyDescent="0.35">
      <c r="A252">
        <v>231</v>
      </c>
      <c r="B252">
        <v>7.7499999999999999E-2</v>
      </c>
      <c r="C252">
        <v>6.45833E-3</v>
      </c>
      <c r="D252">
        <v>2726.95</v>
      </c>
      <c r="E252">
        <v>0</v>
      </c>
      <c r="F252">
        <v>2726.95</v>
      </c>
      <c r="G252">
        <v>1546.02</v>
      </c>
      <c r="H252">
        <v>1180.93</v>
      </c>
      <c r="I252">
        <v>238203.56</v>
      </c>
      <c r="J252">
        <v>-2726.95</v>
      </c>
    </row>
    <row r="253" spans="1:10" x14ac:dyDescent="0.35">
      <c r="A253">
        <v>232</v>
      </c>
      <c r="B253">
        <v>7.7499999999999999E-2</v>
      </c>
      <c r="C253">
        <v>6.45833E-3</v>
      </c>
      <c r="D253">
        <v>2726.95</v>
      </c>
      <c r="E253">
        <v>0</v>
      </c>
      <c r="F253">
        <v>2726.95</v>
      </c>
      <c r="G253">
        <v>1538.4</v>
      </c>
      <c r="H253">
        <v>1188.56</v>
      </c>
      <c r="I253">
        <v>237015</v>
      </c>
      <c r="J253">
        <v>-2726.95</v>
      </c>
    </row>
    <row r="254" spans="1:10" x14ac:dyDescent="0.35">
      <c r="A254">
        <v>233</v>
      </c>
      <c r="B254">
        <v>7.7499999999999999E-2</v>
      </c>
      <c r="C254">
        <v>6.45833E-3</v>
      </c>
      <c r="D254">
        <v>2726.95</v>
      </c>
      <c r="E254">
        <v>0</v>
      </c>
      <c r="F254">
        <v>2726.95</v>
      </c>
      <c r="G254">
        <v>1530.72</v>
      </c>
      <c r="H254">
        <v>1196.23</v>
      </c>
      <c r="I254">
        <v>235818.77</v>
      </c>
      <c r="J254">
        <v>-2726.95</v>
      </c>
    </row>
    <row r="255" spans="1:10" x14ac:dyDescent="0.35">
      <c r="A255">
        <v>234</v>
      </c>
      <c r="B255">
        <v>7.7499999999999999E-2</v>
      </c>
      <c r="C255">
        <v>6.45833E-3</v>
      </c>
      <c r="D255">
        <v>2726.95</v>
      </c>
      <c r="E255">
        <v>0</v>
      </c>
      <c r="F255">
        <v>2726.95</v>
      </c>
      <c r="G255">
        <v>1523</v>
      </c>
      <c r="H255">
        <v>1203.96</v>
      </c>
      <c r="I255">
        <v>234614.81</v>
      </c>
      <c r="J255">
        <v>-2726.95</v>
      </c>
    </row>
    <row r="256" spans="1:10" x14ac:dyDescent="0.35">
      <c r="A256">
        <v>235</v>
      </c>
      <c r="B256">
        <v>7.7499999999999999E-2</v>
      </c>
      <c r="C256">
        <v>6.45833E-3</v>
      </c>
      <c r="D256">
        <v>2726.95</v>
      </c>
      <c r="E256">
        <v>0</v>
      </c>
      <c r="F256">
        <v>2726.95</v>
      </c>
      <c r="G256">
        <v>1515.22</v>
      </c>
      <c r="H256">
        <v>1211.73</v>
      </c>
      <c r="I256">
        <v>233403.08</v>
      </c>
      <c r="J256">
        <v>-2726.95</v>
      </c>
    </row>
    <row r="257" spans="1:10" x14ac:dyDescent="0.35">
      <c r="A257">
        <v>236</v>
      </c>
      <c r="B257">
        <v>7.7499999999999999E-2</v>
      </c>
      <c r="C257">
        <v>6.45833E-3</v>
      </c>
      <c r="D257">
        <v>2726.95</v>
      </c>
      <c r="E257">
        <v>0</v>
      </c>
      <c r="F257">
        <v>2726.95</v>
      </c>
      <c r="G257">
        <v>1507.39</v>
      </c>
      <c r="H257">
        <v>1219.56</v>
      </c>
      <c r="I257">
        <v>232183.52</v>
      </c>
      <c r="J257">
        <v>-2726.95</v>
      </c>
    </row>
    <row r="258" spans="1:10" x14ac:dyDescent="0.35">
      <c r="A258">
        <v>237</v>
      </c>
      <c r="B258">
        <v>7.7499999999999999E-2</v>
      </c>
      <c r="C258">
        <v>6.45833E-3</v>
      </c>
      <c r="D258">
        <v>2726.95</v>
      </c>
      <c r="E258">
        <v>0</v>
      </c>
      <c r="F258">
        <v>2726.95</v>
      </c>
      <c r="G258">
        <v>1499.52</v>
      </c>
      <c r="H258">
        <v>1227.44</v>
      </c>
      <c r="I258">
        <v>230956.09</v>
      </c>
      <c r="J258">
        <v>-2726.95</v>
      </c>
    </row>
    <row r="259" spans="1:10" x14ac:dyDescent="0.35">
      <c r="A259">
        <v>238</v>
      </c>
      <c r="B259">
        <v>7.7499999999999999E-2</v>
      </c>
      <c r="C259">
        <v>6.45833E-3</v>
      </c>
      <c r="D259">
        <v>2726.95</v>
      </c>
      <c r="E259">
        <v>0</v>
      </c>
      <c r="F259">
        <v>2726.95</v>
      </c>
      <c r="G259">
        <v>1491.59</v>
      </c>
      <c r="H259">
        <v>1235.3599999999999</v>
      </c>
      <c r="I259">
        <v>229720.72</v>
      </c>
      <c r="J259">
        <v>-2726.95</v>
      </c>
    </row>
    <row r="260" spans="1:10" x14ac:dyDescent="0.35">
      <c r="A260">
        <v>239</v>
      </c>
      <c r="B260">
        <v>7.7499999999999999E-2</v>
      </c>
      <c r="C260">
        <v>6.45833E-3</v>
      </c>
      <c r="D260">
        <v>2726.95</v>
      </c>
      <c r="E260">
        <v>0</v>
      </c>
      <c r="F260">
        <v>2726.95</v>
      </c>
      <c r="G260">
        <v>1483.61</v>
      </c>
      <c r="H260">
        <v>1243.3399999999999</v>
      </c>
      <c r="I260">
        <v>228477.38</v>
      </c>
      <c r="J260">
        <v>-2726.95</v>
      </c>
    </row>
    <row r="261" spans="1:10" x14ac:dyDescent="0.35">
      <c r="A261">
        <v>240</v>
      </c>
      <c r="B261">
        <v>7.7499999999999999E-2</v>
      </c>
      <c r="C261">
        <v>6.45833E-3</v>
      </c>
      <c r="D261">
        <v>2726.95</v>
      </c>
      <c r="E261">
        <v>0</v>
      </c>
      <c r="F261">
        <v>2726.95</v>
      </c>
      <c r="G261">
        <v>1475.58</v>
      </c>
      <c r="H261">
        <v>1251.3699999999999</v>
      </c>
      <c r="I261">
        <v>227226.01</v>
      </c>
      <c r="J261">
        <v>-2726.95</v>
      </c>
    </row>
    <row r="262" spans="1:10" x14ac:dyDescent="0.35">
      <c r="A262">
        <v>241</v>
      </c>
      <c r="B262">
        <v>7.7499999999999999E-2</v>
      </c>
      <c r="C262">
        <v>6.45833E-3</v>
      </c>
      <c r="D262">
        <v>2726.95</v>
      </c>
      <c r="E262">
        <v>0</v>
      </c>
      <c r="F262">
        <v>2726.95</v>
      </c>
      <c r="G262">
        <v>1467.5</v>
      </c>
      <c r="H262">
        <v>1259.45</v>
      </c>
      <c r="I262">
        <v>225966.56</v>
      </c>
      <c r="J262">
        <v>-2726.95</v>
      </c>
    </row>
    <row r="263" spans="1:10" x14ac:dyDescent="0.35">
      <c r="A263">
        <v>242</v>
      </c>
      <c r="B263">
        <v>7.7499999999999999E-2</v>
      </c>
      <c r="C263">
        <v>6.45833E-3</v>
      </c>
      <c r="D263">
        <v>2726.95</v>
      </c>
      <c r="E263">
        <v>0</v>
      </c>
      <c r="F263">
        <v>2726.95</v>
      </c>
      <c r="G263">
        <v>1459.37</v>
      </c>
      <c r="H263">
        <v>1267.5899999999999</v>
      </c>
      <c r="I263">
        <v>224698.97</v>
      </c>
      <c r="J263">
        <v>-2726.95</v>
      </c>
    </row>
    <row r="264" spans="1:10" x14ac:dyDescent="0.35">
      <c r="A264">
        <v>243</v>
      </c>
      <c r="B264">
        <v>7.7499999999999999E-2</v>
      </c>
      <c r="C264">
        <v>6.45833E-3</v>
      </c>
      <c r="D264">
        <v>2726.95</v>
      </c>
      <c r="E264">
        <v>0</v>
      </c>
      <c r="F264">
        <v>2726.95</v>
      </c>
      <c r="G264">
        <v>1451.18</v>
      </c>
      <c r="H264">
        <v>1275.77</v>
      </c>
      <c r="I264">
        <v>223423.2</v>
      </c>
      <c r="J264">
        <v>-2726.95</v>
      </c>
    </row>
    <row r="265" spans="1:10" x14ac:dyDescent="0.35">
      <c r="A265">
        <v>244</v>
      </c>
      <c r="B265">
        <v>7.7499999999999999E-2</v>
      </c>
      <c r="C265">
        <v>6.45833E-3</v>
      </c>
      <c r="D265">
        <v>2726.95</v>
      </c>
      <c r="E265">
        <v>0</v>
      </c>
      <c r="F265">
        <v>2726.95</v>
      </c>
      <c r="G265">
        <v>1442.94</v>
      </c>
      <c r="H265">
        <v>1284.01</v>
      </c>
      <c r="I265">
        <v>222139.19</v>
      </c>
      <c r="J265">
        <v>-2726.95</v>
      </c>
    </row>
    <row r="266" spans="1:10" x14ac:dyDescent="0.35">
      <c r="A266">
        <v>245</v>
      </c>
      <c r="B266">
        <v>7.7499999999999999E-2</v>
      </c>
      <c r="C266">
        <v>6.45833E-3</v>
      </c>
      <c r="D266">
        <v>2726.95</v>
      </c>
      <c r="E266">
        <v>0</v>
      </c>
      <c r="F266">
        <v>2726.95</v>
      </c>
      <c r="G266">
        <v>1434.65</v>
      </c>
      <c r="H266">
        <v>1292.3</v>
      </c>
      <c r="I266">
        <v>220846.88</v>
      </c>
      <c r="J266">
        <v>-2726.95</v>
      </c>
    </row>
    <row r="267" spans="1:10" x14ac:dyDescent="0.35">
      <c r="A267">
        <v>246</v>
      </c>
      <c r="B267">
        <v>7.7499999999999999E-2</v>
      </c>
      <c r="C267">
        <v>6.45833E-3</v>
      </c>
      <c r="D267">
        <v>2726.95</v>
      </c>
      <c r="E267">
        <v>0</v>
      </c>
      <c r="F267">
        <v>2726.95</v>
      </c>
      <c r="G267">
        <v>1426.3</v>
      </c>
      <c r="H267">
        <v>1300.6500000000001</v>
      </c>
      <c r="I267">
        <v>219546.23</v>
      </c>
      <c r="J267">
        <v>-2726.95</v>
      </c>
    </row>
    <row r="268" spans="1:10" x14ac:dyDescent="0.35">
      <c r="A268">
        <v>247</v>
      </c>
      <c r="B268">
        <v>7.7499999999999999E-2</v>
      </c>
      <c r="C268">
        <v>6.45833E-3</v>
      </c>
      <c r="D268">
        <v>2726.95</v>
      </c>
      <c r="E268">
        <v>0</v>
      </c>
      <c r="F268">
        <v>2726.95</v>
      </c>
      <c r="G268">
        <v>1417.9</v>
      </c>
      <c r="H268">
        <v>1309.05</v>
      </c>
      <c r="I268">
        <v>218237.18</v>
      </c>
      <c r="J268">
        <v>-2726.95</v>
      </c>
    </row>
    <row r="269" spans="1:10" x14ac:dyDescent="0.35">
      <c r="A269">
        <v>248</v>
      </c>
      <c r="B269">
        <v>7.7499999999999999E-2</v>
      </c>
      <c r="C269">
        <v>6.45833E-3</v>
      </c>
      <c r="D269">
        <v>2726.95</v>
      </c>
      <c r="E269">
        <v>0</v>
      </c>
      <c r="F269">
        <v>2726.95</v>
      </c>
      <c r="G269">
        <v>1409.45</v>
      </c>
      <c r="H269">
        <v>1317.51</v>
      </c>
      <c r="I269">
        <v>216919.67999999999</v>
      </c>
      <c r="J269">
        <v>-2726.95</v>
      </c>
    </row>
    <row r="270" spans="1:10" x14ac:dyDescent="0.35">
      <c r="A270">
        <v>249</v>
      </c>
      <c r="B270">
        <v>7.7499999999999999E-2</v>
      </c>
      <c r="C270">
        <v>6.45833E-3</v>
      </c>
      <c r="D270">
        <v>2726.95</v>
      </c>
      <c r="E270">
        <v>0</v>
      </c>
      <c r="F270">
        <v>2726.95</v>
      </c>
      <c r="G270">
        <v>1400.94</v>
      </c>
      <c r="H270">
        <v>1326.01</v>
      </c>
      <c r="I270">
        <v>215593.66</v>
      </c>
      <c r="J270">
        <v>-2726.95</v>
      </c>
    </row>
    <row r="271" spans="1:10" x14ac:dyDescent="0.35">
      <c r="A271">
        <v>250</v>
      </c>
      <c r="B271">
        <v>7.7499999999999999E-2</v>
      </c>
      <c r="C271">
        <v>6.45833E-3</v>
      </c>
      <c r="D271">
        <v>2726.95</v>
      </c>
      <c r="E271">
        <v>0</v>
      </c>
      <c r="F271">
        <v>2726.95</v>
      </c>
      <c r="G271">
        <v>1392.38</v>
      </c>
      <c r="H271">
        <v>1334.58</v>
      </c>
      <c r="I271">
        <v>214259.08</v>
      </c>
      <c r="J271">
        <v>-2726.95</v>
      </c>
    </row>
    <row r="272" spans="1:10" x14ac:dyDescent="0.35">
      <c r="A272">
        <v>251</v>
      </c>
      <c r="B272">
        <v>7.7499999999999999E-2</v>
      </c>
      <c r="C272">
        <v>6.45833E-3</v>
      </c>
      <c r="D272">
        <v>2726.95</v>
      </c>
      <c r="E272">
        <v>0</v>
      </c>
      <c r="F272">
        <v>2726.95</v>
      </c>
      <c r="G272">
        <v>1383.76</v>
      </c>
      <c r="H272">
        <v>1343.2</v>
      </c>
      <c r="I272">
        <v>212915.89</v>
      </c>
      <c r="J272">
        <v>-2726.95</v>
      </c>
    </row>
    <row r="273" spans="1:10" x14ac:dyDescent="0.35">
      <c r="A273">
        <v>252</v>
      </c>
      <c r="B273">
        <v>7.7499999999999999E-2</v>
      </c>
      <c r="C273">
        <v>6.45833E-3</v>
      </c>
      <c r="D273">
        <v>2726.95</v>
      </c>
      <c r="E273">
        <v>0</v>
      </c>
      <c r="F273">
        <v>2726.95</v>
      </c>
      <c r="G273">
        <v>1375.08</v>
      </c>
      <c r="H273">
        <v>1351.87</v>
      </c>
      <c r="I273">
        <v>211564.02</v>
      </c>
      <c r="J273">
        <v>-2726.95</v>
      </c>
    </row>
    <row r="274" spans="1:10" x14ac:dyDescent="0.35">
      <c r="A274">
        <v>253</v>
      </c>
      <c r="B274">
        <v>7.7499999999999999E-2</v>
      </c>
      <c r="C274">
        <v>6.45833E-3</v>
      </c>
      <c r="D274">
        <v>2726.95</v>
      </c>
      <c r="E274">
        <v>0</v>
      </c>
      <c r="F274">
        <v>2726.95</v>
      </c>
      <c r="G274">
        <v>1366.35</v>
      </c>
      <c r="H274">
        <v>1360.6</v>
      </c>
      <c r="I274">
        <v>210203.41</v>
      </c>
      <c r="J274">
        <v>-2726.95</v>
      </c>
    </row>
    <row r="275" spans="1:10" x14ac:dyDescent="0.35">
      <c r="A275">
        <v>254</v>
      </c>
      <c r="B275">
        <v>7.7499999999999999E-2</v>
      </c>
      <c r="C275">
        <v>6.45833E-3</v>
      </c>
      <c r="D275">
        <v>2726.95</v>
      </c>
      <c r="E275">
        <v>0</v>
      </c>
      <c r="F275">
        <v>2726.95</v>
      </c>
      <c r="G275">
        <v>1357.56</v>
      </c>
      <c r="H275">
        <v>1369.39</v>
      </c>
      <c r="I275">
        <v>208834.02</v>
      </c>
      <c r="J275">
        <v>-2726.95</v>
      </c>
    </row>
    <row r="276" spans="1:10" x14ac:dyDescent="0.35">
      <c r="A276">
        <v>255</v>
      </c>
      <c r="B276">
        <v>7.7499999999999999E-2</v>
      </c>
      <c r="C276">
        <v>6.45833E-3</v>
      </c>
      <c r="D276">
        <v>2726.95</v>
      </c>
      <c r="E276">
        <v>0</v>
      </c>
      <c r="F276">
        <v>2726.95</v>
      </c>
      <c r="G276">
        <v>1348.72</v>
      </c>
      <c r="H276">
        <v>1378.23</v>
      </c>
      <c r="I276">
        <v>207455.79</v>
      </c>
      <c r="J276">
        <v>-2726.95</v>
      </c>
    </row>
    <row r="277" spans="1:10" x14ac:dyDescent="0.35">
      <c r="A277">
        <v>256</v>
      </c>
      <c r="B277">
        <v>7.7499999999999999E-2</v>
      </c>
      <c r="C277">
        <v>6.45833E-3</v>
      </c>
      <c r="D277">
        <v>2726.95</v>
      </c>
      <c r="E277">
        <v>0</v>
      </c>
      <c r="F277">
        <v>2726.95</v>
      </c>
      <c r="G277">
        <v>1339.82</v>
      </c>
      <c r="H277">
        <v>1387.14</v>
      </c>
      <c r="I277">
        <v>206068.65</v>
      </c>
      <c r="J277">
        <v>-2726.95</v>
      </c>
    </row>
    <row r="278" spans="1:10" x14ac:dyDescent="0.35">
      <c r="A278">
        <v>257</v>
      </c>
      <c r="B278">
        <v>7.7499999999999999E-2</v>
      </c>
      <c r="C278">
        <v>6.45833E-3</v>
      </c>
      <c r="D278">
        <v>2726.95</v>
      </c>
      <c r="E278">
        <v>0</v>
      </c>
      <c r="F278">
        <v>2726.95</v>
      </c>
      <c r="G278">
        <v>1330.86</v>
      </c>
      <c r="H278">
        <v>1396.09</v>
      </c>
      <c r="I278">
        <v>204672.56</v>
      </c>
      <c r="J278">
        <v>-2726.95</v>
      </c>
    </row>
    <row r="279" spans="1:10" x14ac:dyDescent="0.35">
      <c r="A279">
        <v>258</v>
      </c>
      <c r="B279">
        <v>7.7499999999999999E-2</v>
      </c>
      <c r="C279">
        <v>6.45833E-3</v>
      </c>
      <c r="D279">
        <v>2726.95</v>
      </c>
      <c r="E279">
        <v>0</v>
      </c>
      <c r="F279">
        <v>2726.95</v>
      </c>
      <c r="G279">
        <v>1321.84</v>
      </c>
      <c r="H279">
        <v>1405.11</v>
      </c>
      <c r="I279">
        <v>203267.45</v>
      </c>
      <c r="J279">
        <v>-2726.95</v>
      </c>
    </row>
    <row r="280" spans="1:10" x14ac:dyDescent="0.35">
      <c r="A280">
        <v>259</v>
      </c>
      <c r="B280">
        <v>7.7499999999999999E-2</v>
      </c>
      <c r="C280">
        <v>6.45833E-3</v>
      </c>
      <c r="D280">
        <v>2726.95</v>
      </c>
      <c r="E280">
        <v>0</v>
      </c>
      <c r="F280">
        <v>2726.95</v>
      </c>
      <c r="G280">
        <v>1312.77</v>
      </c>
      <c r="H280">
        <v>1414.18</v>
      </c>
      <c r="I280">
        <v>201853.26</v>
      </c>
      <c r="J280">
        <v>-2726.95</v>
      </c>
    </row>
    <row r="281" spans="1:10" x14ac:dyDescent="0.35">
      <c r="A281">
        <v>260</v>
      </c>
      <c r="B281">
        <v>7.7499999999999999E-2</v>
      </c>
      <c r="C281">
        <v>6.45833E-3</v>
      </c>
      <c r="D281">
        <v>2726.95</v>
      </c>
      <c r="E281">
        <v>0</v>
      </c>
      <c r="F281">
        <v>2726.95</v>
      </c>
      <c r="G281">
        <v>1303.6400000000001</v>
      </c>
      <c r="H281">
        <v>1423.32</v>
      </c>
      <c r="I281">
        <v>200429.95</v>
      </c>
      <c r="J281">
        <v>-2726.95</v>
      </c>
    </row>
    <row r="282" spans="1:10" x14ac:dyDescent="0.35">
      <c r="A282">
        <v>261</v>
      </c>
      <c r="B282">
        <v>7.7499999999999999E-2</v>
      </c>
      <c r="C282">
        <v>6.45833E-3</v>
      </c>
      <c r="D282">
        <v>2726.95</v>
      </c>
      <c r="E282">
        <v>0</v>
      </c>
      <c r="F282">
        <v>2726.95</v>
      </c>
      <c r="G282">
        <v>1294.44</v>
      </c>
      <c r="H282">
        <v>1432.51</v>
      </c>
      <c r="I282">
        <v>198997.44</v>
      </c>
      <c r="J282">
        <v>-2726.95</v>
      </c>
    </row>
    <row r="283" spans="1:10" x14ac:dyDescent="0.35">
      <c r="A283">
        <v>262</v>
      </c>
      <c r="B283">
        <v>7.7499999999999999E-2</v>
      </c>
      <c r="C283">
        <v>6.45833E-3</v>
      </c>
      <c r="D283">
        <v>2726.95</v>
      </c>
      <c r="E283">
        <v>0</v>
      </c>
      <c r="F283">
        <v>2726.95</v>
      </c>
      <c r="G283">
        <v>1285.19</v>
      </c>
      <c r="H283">
        <v>1441.76</v>
      </c>
      <c r="I283">
        <v>197555.67</v>
      </c>
      <c r="J283">
        <v>-2726.95</v>
      </c>
    </row>
    <row r="284" spans="1:10" x14ac:dyDescent="0.35">
      <c r="A284">
        <v>263</v>
      </c>
      <c r="B284">
        <v>7.7499999999999999E-2</v>
      </c>
      <c r="C284">
        <v>6.45833E-3</v>
      </c>
      <c r="D284">
        <v>2726.95</v>
      </c>
      <c r="E284">
        <v>0</v>
      </c>
      <c r="F284">
        <v>2726.95</v>
      </c>
      <c r="G284">
        <v>1275.8800000000001</v>
      </c>
      <c r="H284">
        <v>1451.07</v>
      </c>
      <c r="I284">
        <v>196104.6</v>
      </c>
      <c r="J284">
        <v>-2726.95</v>
      </c>
    </row>
    <row r="285" spans="1:10" x14ac:dyDescent="0.35">
      <c r="A285">
        <v>264</v>
      </c>
      <c r="B285">
        <v>7.7499999999999999E-2</v>
      </c>
      <c r="C285">
        <v>6.45833E-3</v>
      </c>
      <c r="D285">
        <v>2726.95</v>
      </c>
      <c r="E285">
        <v>0</v>
      </c>
      <c r="F285">
        <v>2726.95</v>
      </c>
      <c r="G285">
        <v>1266.51</v>
      </c>
      <c r="H285">
        <v>1460.44</v>
      </c>
      <c r="I285">
        <v>194644.16</v>
      </c>
      <c r="J285">
        <v>-2726.95</v>
      </c>
    </row>
    <row r="286" spans="1:10" x14ac:dyDescent="0.35">
      <c r="A286">
        <v>265</v>
      </c>
      <c r="B286">
        <v>7.7499999999999999E-2</v>
      </c>
      <c r="C286">
        <v>6.45833E-3</v>
      </c>
      <c r="D286">
        <v>2726.95</v>
      </c>
      <c r="E286">
        <v>0</v>
      </c>
      <c r="F286">
        <v>2726.95</v>
      </c>
      <c r="G286">
        <v>1257.08</v>
      </c>
      <c r="H286">
        <v>1469.88</v>
      </c>
      <c r="I286">
        <v>193174.28</v>
      </c>
      <c r="J286">
        <v>-2726.95</v>
      </c>
    </row>
    <row r="287" spans="1:10" x14ac:dyDescent="0.35">
      <c r="A287">
        <v>266</v>
      </c>
      <c r="B287">
        <v>7.7499999999999999E-2</v>
      </c>
      <c r="C287">
        <v>6.45833E-3</v>
      </c>
      <c r="D287">
        <v>2726.95</v>
      </c>
      <c r="E287">
        <v>0</v>
      </c>
      <c r="F287">
        <v>2726.95</v>
      </c>
      <c r="G287">
        <v>1247.58</v>
      </c>
      <c r="H287">
        <v>1479.37</v>
      </c>
      <c r="I287">
        <v>191694.91</v>
      </c>
      <c r="J287">
        <v>-2726.95</v>
      </c>
    </row>
    <row r="288" spans="1:10" x14ac:dyDescent="0.35">
      <c r="A288">
        <v>267</v>
      </c>
      <c r="B288">
        <v>7.7499999999999999E-2</v>
      </c>
      <c r="C288">
        <v>6.45833E-3</v>
      </c>
      <c r="D288">
        <v>2726.95</v>
      </c>
      <c r="E288">
        <v>0</v>
      </c>
      <c r="F288">
        <v>2726.95</v>
      </c>
      <c r="G288">
        <v>1238.03</v>
      </c>
      <c r="H288">
        <v>1488.92</v>
      </c>
      <c r="I288">
        <v>190205.99</v>
      </c>
      <c r="J288">
        <v>-2726.95</v>
      </c>
    </row>
    <row r="289" spans="1:10" x14ac:dyDescent="0.35">
      <c r="A289">
        <v>268</v>
      </c>
      <c r="B289">
        <v>7.7499999999999999E-2</v>
      </c>
      <c r="C289">
        <v>6.45833E-3</v>
      </c>
      <c r="D289">
        <v>2726.95</v>
      </c>
      <c r="E289">
        <v>0</v>
      </c>
      <c r="F289">
        <v>2726.95</v>
      </c>
      <c r="G289">
        <v>1228.4100000000001</v>
      </c>
      <c r="H289">
        <v>1498.54</v>
      </c>
      <c r="I289">
        <v>188707.45</v>
      </c>
      <c r="J289">
        <v>-2726.95</v>
      </c>
    </row>
    <row r="290" spans="1:10" x14ac:dyDescent="0.35">
      <c r="A290">
        <v>269</v>
      </c>
      <c r="B290">
        <v>7.7499999999999999E-2</v>
      </c>
      <c r="C290">
        <v>6.45833E-3</v>
      </c>
      <c r="D290">
        <v>2726.95</v>
      </c>
      <c r="E290">
        <v>0</v>
      </c>
      <c r="F290">
        <v>2726.95</v>
      </c>
      <c r="G290">
        <v>1218.74</v>
      </c>
      <c r="H290">
        <v>1508.22</v>
      </c>
      <c r="I290">
        <v>187199.23</v>
      </c>
      <c r="J290">
        <v>-2726.95</v>
      </c>
    </row>
    <row r="291" spans="1:10" x14ac:dyDescent="0.35">
      <c r="A291">
        <v>270</v>
      </c>
      <c r="B291">
        <v>7.7499999999999999E-2</v>
      </c>
      <c r="C291">
        <v>6.45833E-3</v>
      </c>
      <c r="D291">
        <v>2726.95</v>
      </c>
      <c r="E291">
        <v>0</v>
      </c>
      <c r="F291">
        <v>2726.95</v>
      </c>
      <c r="G291">
        <v>1209</v>
      </c>
      <c r="H291">
        <v>1517.96</v>
      </c>
      <c r="I291">
        <v>185681.27</v>
      </c>
      <c r="J291">
        <v>-2726.95</v>
      </c>
    </row>
    <row r="292" spans="1:10" x14ac:dyDescent="0.35">
      <c r="A292">
        <v>271</v>
      </c>
      <c r="B292">
        <v>7.7499999999999999E-2</v>
      </c>
      <c r="C292">
        <v>6.45833E-3</v>
      </c>
      <c r="D292">
        <v>2726.95</v>
      </c>
      <c r="E292">
        <v>0</v>
      </c>
      <c r="F292">
        <v>2726.95</v>
      </c>
      <c r="G292">
        <v>1199.19</v>
      </c>
      <c r="H292">
        <v>1527.76</v>
      </c>
      <c r="I292">
        <v>184153.51</v>
      </c>
      <c r="J292">
        <v>-2726.95</v>
      </c>
    </row>
    <row r="293" spans="1:10" x14ac:dyDescent="0.35">
      <c r="A293">
        <v>272</v>
      </c>
      <c r="B293">
        <v>7.7499999999999999E-2</v>
      </c>
      <c r="C293">
        <v>6.45833E-3</v>
      </c>
      <c r="D293">
        <v>2726.95</v>
      </c>
      <c r="E293">
        <v>0</v>
      </c>
      <c r="F293">
        <v>2726.95</v>
      </c>
      <c r="G293">
        <v>1189.32</v>
      </c>
      <c r="H293">
        <v>1537.63</v>
      </c>
      <c r="I293">
        <v>182615.88</v>
      </c>
      <c r="J293">
        <v>-2726.95</v>
      </c>
    </row>
    <row r="294" spans="1:10" x14ac:dyDescent="0.35">
      <c r="A294">
        <v>273</v>
      </c>
      <c r="B294">
        <v>7.7499999999999999E-2</v>
      </c>
      <c r="C294">
        <v>6.45833E-3</v>
      </c>
      <c r="D294">
        <v>2726.95</v>
      </c>
      <c r="E294">
        <v>0</v>
      </c>
      <c r="F294">
        <v>2726.95</v>
      </c>
      <c r="G294">
        <v>1179.3900000000001</v>
      </c>
      <c r="H294">
        <v>1547.56</v>
      </c>
      <c r="I294">
        <v>181068.32</v>
      </c>
      <c r="J294">
        <v>-2726.95</v>
      </c>
    </row>
    <row r="295" spans="1:10" x14ac:dyDescent="0.35">
      <c r="A295">
        <v>274</v>
      </c>
      <c r="B295">
        <v>7.7499999999999999E-2</v>
      </c>
      <c r="C295">
        <v>6.45833E-3</v>
      </c>
      <c r="D295">
        <v>2726.95</v>
      </c>
      <c r="E295">
        <v>0</v>
      </c>
      <c r="F295">
        <v>2726.95</v>
      </c>
      <c r="G295">
        <v>1169.4000000000001</v>
      </c>
      <c r="H295">
        <v>1557.55</v>
      </c>
      <c r="I295">
        <v>179510.76</v>
      </c>
      <c r="J295">
        <v>-2726.95</v>
      </c>
    </row>
    <row r="296" spans="1:10" x14ac:dyDescent="0.35">
      <c r="A296">
        <v>275</v>
      </c>
      <c r="B296">
        <v>7.7499999999999999E-2</v>
      </c>
      <c r="C296">
        <v>6.45833E-3</v>
      </c>
      <c r="D296">
        <v>2726.95</v>
      </c>
      <c r="E296">
        <v>0</v>
      </c>
      <c r="F296">
        <v>2726.95</v>
      </c>
      <c r="G296">
        <v>1159.3399999999999</v>
      </c>
      <c r="H296">
        <v>1567.61</v>
      </c>
      <c r="I296">
        <v>177943.15</v>
      </c>
      <c r="J296">
        <v>-2726.95</v>
      </c>
    </row>
    <row r="297" spans="1:10" x14ac:dyDescent="0.35">
      <c r="A297">
        <v>276</v>
      </c>
      <c r="B297">
        <v>7.7499999999999999E-2</v>
      </c>
      <c r="C297">
        <v>6.45833E-3</v>
      </c>
      <c r="D297">
        <v>2726.95</v>
      </c>
      <c r="E297">
        <v>0</v>
      </c>
      <c r="F297">
        <v>2726.95</v>
      </c>
      <c r="G297">
        <v>1149.22</v>
      </c>
      <c r="H297">
        <v>1577.74</v>
      </c>
      <c r="I297">
        <v>176365.41</v>
      </c>
      <c r="J297">
        <v>-2726.95</v>
      </c>
    </row>
    <row r="298" spans="1:10" x14ac:dyDescent="0.35">
      <c r="A298">
        <v>277</v>
      </c>
      <c r="B298">
        <v>7.7499999999999999E-2</v>
      </c>
      <c r="C298">
        <v>6.45833E-3</v>
      </c>
      <c r="D298">
        <v>2726.95</v>
      </c>
      <c r="E298">
        <v>0</v>
      </c>
      <c r="F298">
        <v>2726.95</v>
      </c>
      <c r="G298">
        <v>1139.03</v>
      </c>
      <c r="H298">
        <v>1587.93</v>
      </c>
      <c r="I298">
        <v>174777.49</v>
      </c>
      <c r="J298">
        <v>-2726.95</v>
      </c>
    </row>
    <row r="299" spans="1:10" x14ac:dyDescent="0.35">
      <c r="A299">
        <v>278</v>
      </c>
      <c r="B299">
        <v>7.7499999999999999E-2</v>
      </c>
      <c r="C299">
        <v>6.45833E-3</v>
      </c>
      <c r="D299">
        <v>2726.95</v>
      </c>
      <c r="E299">
        <v>0</v>
      </c>
      <c r="F299">
        <v>2726.95</v>
      </c>
      <c r="G299">
        <v>1128.77</v>
      </c>
      <c r="H299">
        <v>1598.18</v>
      </c>
      <c r="I299">
        <v>173179.3</v>
      </c>
      <c r="J299">
        <v>-2726.95</v>
      </c>
    </row>
    <row r="300" spans="1:10" x14ac:dyDescent="0.35">
      <c r="A300">
        <v>279</v>
      </c>
      <c r="B300">
        <v>7.7499999999999999E-2</v>
      </c>
      <c r="C300">
        <v>6.45833E-3</v>
      </c>
      <c r="D300">
        <v>2726.95</v>
      </c>
      <c r="E300">
        <v>0</v>
      </c>
      <c r="F300">
        <v>2726.95</v>
      </c>
      <c r="G300">
        <v>1118.45</v>
      </c>
      <c r="H300">
        <v>1608.5</v>
      </c>
      <c r="I300">
        <v>171570.8</v>
      </c>
      <c r="J300">
        <v>-2726.95</v>
      </c>
    </row>
    <row r="301" spans="1:10" x14ac:dyDescent="0.35">
      <c r="A301">
        <v>280</v>
      </c>
      <c r="B301">
        <v>7.7499999999999999E-2</v>
      </c>
      <c r="C301">
        <v>6.45833E-3</v>
      </c>
      <c r="D301">
        <v>2726.95</v>
      </c>
      <c r="E301">
        <v>0</v>
      </c>
      <c r="F301">
        <v>2726.95</v>
      </c>
      <c r="G301">
        <v>1108.06</v>
      </c>
      <c r="H301">
        <v>1618.89</v>
      </c>
      <c r="I301">
        <v>169951.91</v>
      </c>
      <c r="J301">
        <v>-2726.95</v>
      </c>
    </row>
    <row r="302" spans="1:10" x14ac:dyDescent="0.35">
      <c r="A302">
        <v>281</v>
      </c>
      <c r="B302">
        <v>7.7499999999999999E-2</v>
      </c>
      <c r="C302">
        <v>6.45833E-3</v>
      </c>
      <c r="D302">
        <v>2726.95</v>
      </c>
      <c r="E302">
        <v>0</v>
      </c>
      <c r="F302">
        <v>2726.95</v>
      </c>
      <c r="G302">
        <v>1097.6099999999999</v>
      </c>
      <c r="H302">
        <v>1629.35</v>
      </c>
      <c r="I302">
        <v>168322.56</v>
      </c>
      <c r="J302">
        <v>-2726.95</v>
      </c>
    </row>
    <row r="303" spans="1:10" x14ac:dyDescent="0.35">
      <c r="A303">
        <v>282</v>
      </c>
      <c r="B303">
        <v>7.7499999999999999E-2</v>
      </c>
      <c r="C303">
        <v>6.45833E-3</v>
      </c>
      <c r="D303">
        <v>2726.95</v>
      </c>
      <c r="E303">
        <v>0</v>
      </c>
      <c r="F303">
        <v>2726.95</v>
      </c>
      <c r="G303">
        <v>1087.08</v>
      </c>
      <c r="H303">
        <v>1639.87</v>
      </c>
      <c r="I303">
        <v>166682.69</v>
      </c>
      <c r="J303">
        <v>-2726.95</v>
      </c>
    </row>
    <row r="304" spans="1:10" x14ac:dyDescent="0.35">
      <c r="A304">
        <v>283</v>
      </c>
      <c r="B304">
        <v>7.7499999999999999E-2</v>
      </c>
      <c r="C304">
        <v>6.45833E-3</v>
      </c>
      <c r="D304">
        <v>2726.95</v>
      </c>
      <c r="E304">
        <v>0</v>
      </c>
      <c r="F304">
        <v>2726.95</v>
      </c>
      <c r="G304">
        <v>1076.49</v>
      </c>
      <c r="H304">
        <v>1650.46</v>
      </c>
      <c r="I304">
        <v>165032.23000000001</v>
      </c>
      <c r="J304">
        <v>-2726.95</v>
      </c>
    </row>
    <row r="305" spans="1:10" x14ac:dyDescent="0.35">
      <c r="A305">
        <v>284</v>
      </c>
      <c r="B305">
        <v>7.7499999999999999E-2</v>
      </c>
      <c r="C305">
        <v>6.45833E-3</v>
      </c>
      <c r="D305">
        <v>2726.95</v>
      </c>
      <c r="E305">
        <v>0</v>
      </c>
      <c r="F305">
        <v>2726.95</v>
      </c>
      <c r="G305">
        <v>1065.83</v>
      </c>
      <c r="H305">
        <v>1661.12</v>
      </c>
      <c r="I305">
        <v>163371.10999999999</v>
      </c>
      <c r="J305">
        <v>-2726.95</v>
      </c>
    </row>
    <row r="306" spans="1:10" x14ac:dyDescent="0.35">
      <c r="A306">
        <v>285</v>
      </c>
      <c r="B306">
        <v>7.7499999999999999E-2</v>
      </c>
      <c r="C306">
        <v>6.45833E-3</v>
      </c>
      <c r="D306">
        <v>2726.95</v>
      </c>
      <c r="E306">
        <v>0</v>
      </c>
      <c r="F306">
        <v>2726.95</v>
      </c>
      <c r="G306">
        <v>1055.1099999999999</v>
      </c>
      <c r="H306">
        <v>1671.85</v>
      </c>
      <c r="I306">
        <v>161699.26</v>
      </c>
      <c r="J306">
        <v>-2726.95</v>
      </c>
    </row>
    <row r="307" spans="1:10" x14ac:dyDescent="0.35">
      <c r="A307">
        <v>286</v>
      </c>
      <c r="B307">
        <v>7.7499999999999999E-2</v>
      </c>
      <c r="C307">
        <v>6.45833E-3</v>
      </c>
      <c r="D307">
        <v>2726.95</v>
      </c>
      <c r="E307">
        <v>0</v>
      </c>
      <c r="F307">
        <v>2726.95</v>
      </c>
      <c r="G307">
        <v>1044.31</v>
      </c>
      <c r="H307">
        <v>1682.65</v>
      </c>
      <c r="I307">
        <v>160016.60999999999</v>
      </c>
      <c r="J307">
        <v>-2726.95</v>
      </c>
    </row>
    <row r="308" spans="1:10" x14ac:dyDescent="0.35">
      <c r="A308">
        <v>287</v>
      </c>
      <c r="B308">
        <v>7.7499999999999999E-2</v>
      </c>
      <c r="C308">
        <v>6.45833E-3</v>
      </c>
      <c r="D308">
        <v>2726.95</v>
      </c>
      <c r="E308">
        <v>0</v>
      </c>
      <c r="F308">
        <v>2726.95</v>
      </c>
      <c r="G308">
        <v>1033.44</v>
      </c>
      <c r="H308">
        <v>1693.51</v>
      </c>
      <c r="I308">
        <v>158323.1</v>
      </c>
      <c r="J308">
        <v>-2726.95</v>
      </c>
    </row>
    <row r="309" spans="1:10" x14ac:dyDescent="0.35">
      <c r="A309">
        <v>288</v>
      </c>
      <c r="B309">
        <v>7.7499999999999999E-2</v>
      </c>
      <c r="C309">
        <v>6.45833E-3</v>
      </c>
      <c r="D309">
        <v>2726.95</v>
      </c>
      <c r="E309">
        <v>0</v>
      </c>
      <c r="F309">
        <v>2726.95</v>
      </c>
      <c r="G309">
        <v>1022.5</v>
      </c>
      <c r="H309">
        <v>1704.45</v>
      </c>
      <c r="I309">
        <v>156618.65</v>
      </c>
      <c r="J309">
        <v>-2726.95</v>
      </c>
    </row>
    <row r="310" spans="1:10" x14ac:dyDescent="0.35">
      <c r="A310">
        <v>289</v>
      </c>
      <c r="B310">
        <v>7.7499999999999999E-2</v>
      </c>
      <c r="C310">
        <v>6.45833E-3</v>
      </c>
      <c r="D310">
        <v>2726.95</v>
      </c>
      <c r="E310">
        <v>0</v>
      </c>
      <c r="F310">
        <v>2726.95</v>
      </c>
      <c r="G310">
        <v>1011.5</v>
      </c>
      <c r="H310">
        <v>1715.46</v>
      </c>
      <c r="I310">
        <v>154903.19</v>
      </c>
      <c r="J310">
        <v>-2726.95</v>
      </c>
    </row>
    <row r="311" spans="1:10" x14ac:dyDescent="0.35">
      <c r="A311">
        <v>290</v>
      </c>
      <c r="B311">
        <v>7.7499999999999999E-2</v>
      </c>
      <c r="C311">
        <v>6.45833E-3</v>
      </c>
      <c r="D311">
        <v>2726.95</v>
      </c>
      <c r="E311">
        <v>0</v>
      </c>
      <c r="F311">
        <v>2726.95</v>
      </c>
      <c r="G311">
        <v>1000.42</v>
      </c>
      <c r="H311">
        <v>1726.54</v>
      </c>
      <c r="I311">
        <v>153176.65</v>
      </c>
      <c r="J311">
        <v>-2726.95</v>
      </c>
    </row>
    <row r="312" spans="1:10" x14ac:dyDescent="0.35">
      <c r="A312">
        <v>291</v>
      </c>
      <c r="B312">
        <v>7.7499999999999999E-2</v>
      </c>
      <c r="C312">
        <v>6.45833E-3</v>
      </c>
      <c r="D312">
        <v>2726.95</v>
      </c>
      <c r="E312">
        <v>0</v>
      </c>
      <c r="F312">
        <v>2726.95</v>
      </c>
      <c r="G312">
        <v>989.27</v>
      </c>
      <c r="H312">
        <v>1737.69</v>
      </c>
      <c r="I312">
        <v>151438.97</v>
      </c>
      <c r="J312">
        <v>-2726.95</v>
      </c>
    </row>
    <row r="313" spans="1:10" x14ac:dyDescent="0.35">
      <c r="A313">
        <v>292</v>
      </c>
      <c r="B313">
        <v>7.7499999999999999E-2</v>
      </c>
      <c r="C313">
        <v>6.45833E-3</v>
      </c>
      <c r="D313">
        <v>2726.95</v>
      </c>
      <c r="E313">
        <v>0</v>
      </c>
      <c r="F313">
        <v>2726.95</v>
      </c>
      <c r="G313">
        <v>978.04</v>
      </c>
      <c r="H313">
        <v>1748.91</v>
      </c>
      <c r="I313">
        <v>149690.06</v>
      </c>
      <c r="J313">
        <v>-2726.95</v>
      </c>
    </row>
    <row r="314" spans="1:10" x14ac:dyDescent="0.35">
      <c r="A314">
        <v>293</v>
      </c>
      <c r="B314">
        <v>7.7499999999999999E-2</v>
      </c>
      <c r="C314">
        <v>6.45833E-3</v>
      </c>
      <c r="D314">
        <v>2726.95</v>
      </c>
      <c r="E314">
        <v>0</v>
      </c>
      <c r="F314">
        <v>2726.95</v>
      </c>
      <c r="G314">
        <v>966.75</v>
      </c>
      <c r="H314">
        <v>1760.21</v>
      </c>
      <c r="I314">
        <v>147929.85</v>
      </c>
      <c r="J314">
        <v>-2726.95</v>
      </c>
    </row>
    <row r="315" spans="1:10" x14ac:dyDescent="0.35">
      <c r="A315">
        <v>294</v>
      </c>
      <c r="B315">
        <v>7.7499999999999999E-2</v>
      </c>
      <c r="C315">
        <v>6.45833E-3</v>
      </c>
      <c r="D315">
        <v>2726.95</v>
      </c>
      <c r="E315">
        <v>0</v>
      </c>
      <c r="F315">
        <v>2726.95</v>
      </c>
      <c r="G315">
        <v>955.38</v>
      </c>
      <c r="H315">
        <v>1771.57</v>
      </c>
      <c r="I315">
        <v>146158.28</v>
      </c>
      <c r="J315">
        <v>-2726.95</v>
      </c>
    </row>
    <row r="316" spans="1:10" x14ac:dyDescent="0.35">
      <c r="A316">
        <v>295</v>
      </c>
      <c r="B316">
        <v>7.7499999999999999E-2</v>
      </c>
      <c r="C316">
        <v>6.45833E-3</v>
      </c>
      <c r="D316">
        <v>2726.95</v>
      </c>
      <c r="E316">
        <v>0</v>
      </c>
      <c r="F316">
        <v>2726.95</v>
      </c>
      <c r="G316">
        <v>943.94</v>
      </c>
      <c r="H316">
        <v>1783.01</v>
      </c>
      <c r="I316">
        <v>144375.26</v>
      </c>
      <c r="J316">
        <v>-2726.95</v>
      </c>
    </row>
    <row r="317" spans="1:10" x14ac:dyDescent="0.35">
      <c r="A317">
        <v>296</v>
      </c>
      <c r="B317">
        <v>7.7499999999999999E-2</v>
      </c>
      <c r="C317">
        <v>6.45833E-3</v>
      </c>
      <c r="D317">
        <v>2726.95</v>
      </c>
      <c r="E317">
        <v>0</v>
      </c>
      <c r="F317">
        <v>2726.95</v>
      </c>
      <c r="G317">
        <v>932.42</v>
      </c>
      <c r="H317">
        <v>1794.53</v>
      </c>
      <c r="I317">
        <v>142580.73000000001</v>
      </c>
      <c r="J317">
        <v>-2726.95</v>
      </c>
    </row>
    <row r="318" spans="1:10" x14ac:dyDescent="0.35">
      <c r="A318">
        <v>297</v>
      </c>
      <c r="B318">
        <v>7.7499999999999999E-2</v>
      </c>
      <c r="C318">
        <v>6.45833E-3</v>
      </c>
      <c r="D318">
        <v>2726.95</v>
      </c>
      <c r="E318">
        <v>0</v>
      </c>
      <c r="F318">
        <v>2726.95</v>
      </c>
      <c r="G318">
        <v>920.83</v>
      </c>
      <c r="H318">
        <v>1806.12</v>
      </c>
      <c r="I318">
        <v>140774.60999999999</v>
      </c>
      <c r="J318">
        <v>-2726.95</v>
      </c>
    </row>
    <row r="319" spans="1:10" x14ac:dyDescent="0.35">
      <c r="A319">
        <v>298</v>
      </c>
      <c r="B319">
        <v>7.7499999999999999E-2</v>
      </c>
      <c r="C319">
        <v>6.45833E-3</v>
      </c>
      <c r="D319">
        <v>2726.95</v>
      </c>
      <c r="E319">
        <v>0</v>
      </c>
      <c r="F319">
        <v>2726.95</v>
      </c>
      <c r="G319">
        <v>909.17</v>
      </c>
      <c r="H319">
        <v>1817.78</v>
      </c>
      <c r="I319">
        <v>138956.82999999999</v>
      </c>
      <c r="J319">
        <v>-2726.95</v>
      </c>
    </row>
    <row r="320" spans="1:10" x14ac:dyDescent="0.35">
      <c r="A320">
        <v>299</v>
      </c>
      <c r="B320">
        <v>7.7499999999999999E-2</v>
      </c>
      <c r="C320">
        <v>6.45833E-3</v>
      </c>
      <c r="D320">
        <v>2726.95</v>
      </c>
      <c r="E320">
        <v>0</v>
      </c>
      <c r="F320">
        <v>2726.95</v>
      </c>
      <c r="G320">
        <v>897.43</v>
      </c>
      <c r="H320">
        <v>1829.52</v>
      </c>
      <c r="I320">
        <v>137127.29999999999</v>
      </c>
      <c r="J320">
        <v>-2726.95</v>
      </c>
    </row>
    <row r="321" spans="1:10" x14ac:dyDescent="0.35">
      <c r="A321">
        <v>300</v>
      </c>
      <c r="B321">
        <v>7.7499999999999999E-2</v>
      </c>
      <c r="C321">
        <v>6.45833E-3</v>
      </c>
      <c r="D321">
        <v>2726.95</v>
      </c>
      <c r="E321">
        <v>0</v>
      </c>
      <c r="F321">
        <v>2726.95</v>
      </c>
      <c r="G321">
        <v>885.61</v>
      </c>
      <c r="H321">
        <v>1841.34</v>
      </c>
      <c r="I321">
        <v>135285.96</v>
      </c>
      <c r="J321">
        <v>-2726.95</v>
      </c>
    </row>
    <row r="322" spans="1:10" x14ac:dyDescent="0.35">
      <c r="A322">
        <v>301</v>
      </c>
      <c r="B322">
        <v>7.7499999999999999E-2</v>
      </c>
      <c r="C322">
        <v>6.45833E-3</v>
      </c>
      <c r="D322">
        <v>2726.95</v>
      </c>
      <c r="E322">
        <v>0</v>
      </c>
      <c r="F322">
        <v>2726.95</v>
      </c>
      <c r="G322">
        <v>873.72</v>
      </c>
      <c r="H322">
        <v>1853.23</v>
      </c>
      <c r="I322">
        <v>133432.73000000001</v>
      </c>
      <c r="J322">
        <v>-2726.95</v>
      </c>
    </row>
    <row r="323" spans="1:10" x14ac:dyDescent="0.35">
      <c r="A323">
        <v>302</v>
      </c>
      <c r="B323">
        <v>7.7499999999999999E-2</v>
      </c>
      <c r="C323">
        <v>6.45833E-3</v>
      </c>
      <c r="D323">
        <v>2726.95</v>
      </c>
      <c r="E323">
        <v>0</v>
      </c>
      <c r="F323">
        <v>2726.95</v>
      </c>
      <c r="G323">
        <v>861.75</v>
      </c>
      <c r="H323">
        <v>1865.2</v>
      </c>
      <c r="I323">
        <v>131567.53</v>
      </c>
      <c r="J323">
        <v>-2726.95</v>
      </c>
    </row>
    <row r="324" spans="1:10" x14ac:dyDescent="0.35">
      <c r="A324">
        <v>303</v>
      </c>
      <c r="B324">
        <v>7.7499999999999999E-2</v>
      </c>
      <c r="C324">
        <v>6.45833E-3</v>
      </c>
      <c r="D324">
        <v>2726.95</v>
      </c>
      <c r="E324">
        <v>0</v>
      </c>
      <c r="F324">
        <v>2726.95</v>
      </c>
      <c r="G324">
        <v>849.71</v>
      </c>
      <c r="H324">
        <v>1877.25</v>
      </c>
      <c r="I324">
        <v>129690.28</v>
      </c>
      <c r="J324">
        <v>-2726.95</v>
      </c>
    </row>
    <row r="325" spans="1:10" x14ac:dyDescent="0.35">
      <c r="A325">
        <v>304</v>
      </c>
      <c r="B325">
        <v>7.7499999999999999E-2</v>
      </c>
      <c r="C325">
        <v>6.45833E-3</v>
      </c>
      <c r="D325">
        <v>2726.95</v>
      </c>
      <c r="E325">
        <v>0</v>
      </c>
      <c r="F325">
        <v>2726.95</v>
      </c>
      <c r="G325">
        <v>837.58</v>
      </c>
      <c r="H325">
        <v>1889.37</v>
      </c>
      <c r="I325">
        <v>127800.91</v>
      </c>
      <c r="J325">
        <v>-2726.95</v>
      </c>
    </row>
    <row r="326" spans="1:10" x14ac:dyDescent="0.35">
      <c r="A326">
        <v>305</v>
      </c>
      <c r="B326">
        <v>7.7499999999999999E-2</v>
      </c>
      <c r="C326">
        <v>6.45833E-3</v>
      </c>
      <c r="D326">
        <v>2726.95</v>
      </c>
      <c r="E326">
        <v>0</v>
      </c>
      <c r="F326">
        <v>2726.95</v>
      </c>
      <c r="G326">
        <v>825.38</v>
      </c>
      <c r="H326">
        <v>1901.57</v>
      </c>
      <c r="I326">
        <v>125899.34</v>
      </c>
      <c r="J326">
        <v>-2726.95</v>
      </c>
    </row>
    <row r="327" spans="1:10" x14ac:dyDescent="0.35">
      <c r="A327">
        <v>306</v>
      </c>
      <c r="B327">
        <v>7.7499999999999999E-2</v>
      </c>
      <c r="C327">
        <v>6.45833E-3</v>
      </c>
      <c r="D327">
        <v>2726.95</v>
      </c>
      <c r="E327">
        <v>0</v>
      </c>
      <c r="F327">
        <v>2726.95</v>
      </c>
      <c r="G327">
        <v>813.1</v>
      </c>
      <c r="H327">
        <v>1913.85</v>
      </c>
      <c r="I327">
        <v>123985.49</v>
      </c>
      <c r="J327">
        <v>-2726.95</v>
      </c>
    </row>
    <row r="328" spans="1:10" x14ac:dyDescent="0.35">
      <c r="A328">
        <v>307</v>
      </c>
      <c r="B328">
        <v>7.7499999999999999E-2</v>
      </c>
      <c r="C328">
        <v>6.45833E-3</v>
      </c>
      <c r="D328">
        <v>2726.95</v>
      </c>
      <c r="E328">
        <v>0</v>
      </c>
      <c r="F328">
        <v>2726.95</v>
      </c>
      <c r="G328">
        <v>800.74</v>
      </c>
      <c r="H328">
        <v>1926.21</v>
      </c>
      <c r="I328">
        <v>122059.27</v>
      </c>
      <c r="J328">
        <v>-2726.95</v>
      </c>
    </row>
    <row r="329" spans="1:10" x14ac:dyDescent="0.35">
      <c r="A329">
        <v>308</v>
      </c>
      <c r="B329">
        <v>7.7499999999999999E-2</v>
      </c>
      <c r="C329">
        <v>6.45833E-3</v>
      </c>
      <c r="D329">
        <v>2726.95</v>
      </c>
      <c r="E329">
        <v>0</v>
      </c>
      <c r="F329">
        <v>2726.95</v>
      </c>
      <c r="G329">
        <v>788.3</v>
      </c>
      <c r="H329">
        <v>1938.65</v>
      </c>
      <c r="I329">
        <v>120120.62</v>
      </c>
      <c r="J329">
        <v>-2726.95</v>
      </c>
    </row>
    <row r="330" spans="1:10" x14ac:dyDescent="0.35">
      <c r="A330">
        <v>309</v>
      </c>
      <c r="B330">
        <v>7.7499999999999999E-2</v>
      </c>
      <c r="C330">
        <v>6.45833E-3</v>
      </c>
      <c r="D330">
        <v>2726.95</v>
      </c>
      <c r="E330">
        <v>0</v>
      </c>
      <c r="F330">
        <v>2726.95</v>
      </c>
      <c r="G330">
        <v>775.78</v>
      </c>
      <c r="H330">
        <v>1951.17</v>
      </c>
      <c r="I330">
        <v>118169.44</v>
      </c>
      <c r="J330">
        <v>-2726.95</v>
      </c>
    </row>
    <row r="331" spans="1:10" x14ac:dyDescent="0.35">
      <c r="A331">
        <v>310</v>
      </c>
      <c r="B331">
        <v>7.7499999999999999E-2</v>
      </c>
      <c r="C331">
        <v>6.45833E-3</v>
      </c>
      <c r="D331">
        <v>2726.95</v>
      </c>
      <c r="E331">
        <v>0</v>
      </c>
      <c r="F331">
        <v>2726.95</v>
      </c>
      <c r="G331">
        <v>763.18</v>
      </c>
      <c r="H331">
        <v>1963.78</v>
      </c>
      <c r="I331">
        <v>116205.67</v>
      </c>
      <c r="J331">
        <v>-2726.95</v>
      </c>
    </row>
    <row r="332" spans="1:10" x14ac:dyDescent="0.35">
      <c r="A332">
        <v>311</v>
      </c>
      <c r="B332">
        <v>7.7499999999999999E-2</v>
      </c>
      <c r="C332">
        <v>6.45833E-3</v>
      </c>
      <c r="D332">
        <v>2726.95</v>
      </c>
      <c r="E332">
        <v>0</v>
      </c>
      <c r="F332">
        <v>2726.95</v>
      </c>
      <c r="G332">
        <v>750.49</v>
      </c>
      <c r="H332">
        <v>1976.46</v>
      </c>
      <c r="I332">
        <v>114229.21</v>
      </c>
      <c r="J332">
        <v>-2726.95</v>
      </c>
    </row>
    <row r="333" spans="1:10" x14ac:dyDescent="0.35">
      <c r="A333">
        <v>312</v>
      </c>
      <c r="B333">
        <v>7.7499999999999999E-2</v>
      </c>
      <c r="C333">
        <v>6.45833E-3</v>
      </c>
      <c r="D333">
        <v>2726.95</v>
      </c>
      <c r="E333">
        <v>0</v>
      </c>
      <c r="F333">
        <v>2726.95</v>
      </c>
      <c r="G333">
        <v>737.73</v>
      </c>
      <c r="H333">
        <v>1989.22</v>
      </c>
      <c r="I333">
        <v>112239.99</v>
      </c>
      <c r="J333">
        <v>-2726.95</v>
      </c>
    </row>
    <row r="334" spans="1:10" x14ac:dyDescent="0.35">
      <c r="A334">
        <v>313</v>
      </c>
      <c r="B334">
        <v>7.7499999999999999E-2</v>
      </c>
      <c r="C334">
        <v>6.45833E-3</v>
      </c>
      <c r="D334">
        <v>2726.95</v>
      </c>
      <c r="E334">
        <v>0</v>
      </c>
      <c r="F334">
        <v>2726.95</v>
      </c>
      <c r="G334">
        <v>724.88</v>
      </c>
      <c r="H334">
        <v>2002.07</v>
      </c>
      <c r="I334">
        <v>110237.91</v>
      </c>
      <c r="J334">
        <v>-2726.95</v>
      </c>
    </row>
    <row r="335" spans="1:10" x14ac:dyDescent="0.35">
      <c r="A335">
        <v>314</v>
      </c>
      <c r="B335">
        <v>7.7499999999999999E-2</v>
      </c>
      <c r="C335">
        <v>6.45833E-3</v>
      </c>
      <c r="D335">
        <v>2726.95</v>
      </c>
      <c r="E335">
        <v>0</v>
      </c>
      <c r="F335">
        <v>2726.95</v>
      </c>
      <c r="G335">
        <v>711.95</v>
      </c>
      <c r="H335">
        <v>2015</v>
      </c>
      <c r="I335">
        <v>108222.91</v>
      </c>
      <c r="J335">
        <v>-2726.95</v>
      </c>
    </row>
    <row r="336" spans="1:10" x14ac:dyDescent="0.35">
      <c r="A336">
        <v>315</v>
      </c>
      <c r="B336">
        <v>7.7499999999999999E-2</v>
      </c>
      <c r="C336">
        <v>6.45833E-3</v>
      </c>
      <c r="D336">
        <v>2726.95</v>
      </c>
      <c r="E336">
        <v>0</v>
      </c>
      <c r="F336">
        <v>2726.95</v>
      </c>
      <c r="G336">
        <v>698.94</v>
      </c>
      <c r="H336">
        <v>2028.01</v>
      </c>
      <c r="I336">
        <v>106194.9</v>
      </c>
      <c r="J336">
        <v>-2726.95</v>
      </c>
    </row>
    <row r="337" spans="1:10" x14ac:dyDescent="0.35">
      <c r="A337">
        <v>316</v>
      </c>
      <c r="B337">
        <v>7.7499999999999999E-2</v>
      </c>
      <c r="C337">
        <v>6.45833E-3</v>
      </c>
      <c r="D337">
        <v>2726.95</v>
      </c>
      <c r="E337">
        <v>0</v>
      </c>
      <c r="F337">
        <v>2726.95</v>
      </c>
      <c r="G337">
        <v>685.84</v>
      </c>
      <c r="H337">
        <v>2041.11</v>
      </c>
      <c r="I337">
        <v>104153.79</v>
      </c>
      <c r="J337">
        <v>-2726.95</v>
      </c>
    </row>
    <row r="338" spans="1:10" x14ac:dyDescent="0.35">
      <c r="A338">
        <v>317</v>
      </c>
      <c r="B338">
        <v>7.7499999999999999E-2</v>
      </c>
      <c r="C338">
        <v>6.45833E-3</v>
      </c>
      <c r="D338">
        <v>2726.95</v>
      </c>
      <c r="E338">
        <v>0</v>
      </c>
      <c r="F338">
        <v>2726.95</v>
      </c>
      <c r="G338">
        <v>672.66</v>
      </c>
      <c r="H338">
        <v>2054.29</v>
      </c>
      <c r="I338">
        <v>102099.49</v>
      </c>
      <c r="J338">
        <v>-2726.95</v>
      </c>
    </row>
    <row r="339" spans="1:10" x14ac:dyDescent="0.35">
      <c r="A339">
        <v>318</v>
      </c>
      <c r="B339">
        <v>7.7499999999999999E-2</v>
      </c>
      <c r="C339">
        <v>6.45833E-3</v>
      </c>
      <c r="D339">
        <v>2726.95</v>
      </c>
      <c r="E339">
        <v>0</v>
      </c>
      <c r="F339">
        <v>2726.95</v>
      </c>
      <c r="G339">
        <v>659.39</v>
      </c>
      <c r="H339">
        <v>2067.56</v>
      </c>
      <c r="I339">
        <v>100031.93</v>
      </c>
      <c r="J339">
        <v>-2726.95</v>
      </c>
    </row>
    <row r="340" spans="1:10" x14ac:dyDescent="0.35">
      <c r="A340">
        <v>319</v>
      </c>
      <c r="B340">
        <v>7.7499999999999999E-2</v>
      </c>
      <c r="C340">
        <v>6.45833E-3</v>
      </c>
      <c r="D340">
        <v>2726.95</v>
      </c>
      <c r="E340">
        <v>0</v>
      </c>
      <c r="F340">
        <v>2726.95</v>
      </c>
      <c r="G340">
        <v>646.04</v>
      </c>
      <c r="H340">
        <v>2080.91</v>
      </c>
      <c r="I340">
        <v>97951.02</v>
      </c>
      <c r="J340">
        <v>-2726.95</v>
      </c>
    </row>
    <row r="341" spans="1:10" x14ac:dyDescent="0.35">
      <c r="A341">
        <v>320</v>
      </c>
      <c r="B341">
        <v>7.7499999999999999E-2</v>
      </c>
      <c r="C341">
        <v>6.45833E-3</v>
      </c>
      <c r="D341">
        <v>2726.95</v>
      </c>
      <c r="E341">
        <v>0</v>
      </c>
      <c r="F341">
        <v>2726.95</v>
      </c>
      <c r="G341">
        <v>632.6</v>
      </c>
      <c r="H341">
        <v>2094.35</v>
      </c>
      <c r="I341">
        <v>95856.67</v>
      </c>
      <c r="J341">
        <v>-2726.95</v>
      </c>
    </row>
    <row r="342" spans="1:10" x14ac:dyDescent="0.35">
      <c r="A342">
        <v>321</v>
      </c>
      <c r="B342">
        <v>7.7499999999999999E-2</v>
      </c>
      <c r="C342">
        <v>6.45833E-3</v>
      </c>
      <c r="D342">
        <v>2726.95</v>
      </c>
      <c r="E342">
        <v>0</v>
      </c>
      <c r="F342">
        <v>2726.95</v>
      </c>
      <c r="G342">
        <v>619.07000000000005</v>
      </c>
      <c r="H342">
        <v>2107.88</v>
      </c>
      <c r="I342">
        <v>93748.79</v>
      </c>
      <c r="J342">
        <v>-2726.95</v>
      </c>
    </row>
    <row r="343" spans="1:10" x14ac:dyDescent="0.35">
      <c r="A343">
        <v>322</v>
      </c>
      <c r="B343">
        <v>7.7499999999999999E-2</v>
      </c>
      <c r="C343">
        <v>6.45833E-3</v>
      </c>
      <c r="D343">
        <v>2726.95</v>
      </c>
      <c r="E343">
        <v>0</v>
      </c>
      <c r="F343">
        <v>2726.95</v>
      </c>
      <c r="G343">
        <v>605.46</v>
      </c>
      <c r="H343">
        <v>2121.4899999999998</v>
      </c>
      <c r="I343">
        <v>91627.29</v>
      </c>
      <c r="J343">
        <v>-2726.95</v>
      </c>
    </row>
    <row r="344" spans="1:10" x14ac:dyDescent="0.35">
      <c r="A344">
        <v>323</v>
      </c>
      <c r="B344">
        <v>7.7499999999999999E-2</v>
      </c>
      <c r="C344">
        <v>6.45833E-3</v>
      </c>
      <c r="D344">
        <v>2726.95</v>
      </c>
      <c r="E344">
        <v>0</v>
      </c>
      <c r="F344">
        <v>2726.95</v>
      </c>
      <c r="G344">
        <v>591.76</v>
      </c>
      <c r="H344">
        <v>2135.19</v>
      </c>
      <c r="I344">
        <v>89492.1</v>
      </c>
      <c r="J344">
        <v>-2726.95</v>
      </c>
    </row>
    <row r="345" spans="1:10" x14ac:dyDescent="0.35">
      <c r="A345">
        <v>324</v>
      </c>
      <c r="B345">
        <v>7.7499999999999999E-2</v>
      </c>
      <c r="C345">
        <v>6.45833E-3</v>
      </c>
      <c r="D345">
        <v>2726.95</v>
      </c>
      <c r="E345">
        <v>0</v>
      </c>
      <c r="F345">
        <v>2726.95</v>
      </c>
      <c r="G345">
        <v>577.97</v>
      </c>
      <c r="H345">
        <v>2148.98</v>
      </c>
      <c r="I345">
        <v>87343.12</v>
      </c>
      <c r="J345">
        <v>-2726.95</v>
      </c>
    </row>
    <row r="346" spans="1:10" x14ac:dyDescent="0.35">
      <c r="A346">
        <v>325</v>
      </c>
      <c r="B346">
        <v>7.7499999999999999E-2</v>
      </c>
      <c r="C346">
        <v>6.45833E-3</v>
      </c>
      <c r="D346">
        <v>2726.95</v>
      </c>
      <c r="E346">
        <v>0</v>
      </c>
      <c r="F346">
        <v>2726.95</v>
      </c>
      <c r="G346">
        <v>564.09</v>
      </c>
      <c r="H346">
        <v>2162.86</v>
      </c>
      <c r="I346">
        <v>85180.25</v>
      </c>
      <c r="J346">
        <v>-2726.95</v>
      </c>
    </row>
    <row r="347" spans="1:10" x14ac:dyDescent="0.35">
      <c r="A347">
        <v>326</v>
      </c>
      <c r="B347">
        <v>7.7499999999999999E-2</v>
      </c>
      <c r="C347">
        <v>6.45833E-3</v>
      </c>
      <c r="D347">
        <v>2726.95</v>
      </c>
      <c r="E347">
        <v>0</v>
      </c>
      <c r="F347">
        <v>2726.95</v>
      </c>
      <c r="G347">
        <v>550.12</v>
      </c>
      <c r="H347">
        <v>2176.83</v>
      </c>
      <c r="I347">
        <v>83003.42</v>
      </c>
      <c r="J347">
        <v>-2726.95</v>
      </c>
    </row>
    <row r="348" spans="1:10" x14ac:dyDescent="0.35">
      <c r="A348">
        <v>327</v>
      </c>
      <c r="B348">
        <v>7.7499999999999999E-2</v>
      </c>
      <c r="C348">
        <v>6.45833E-3</v>
      </c>
      <c r="D348">
        <v>2726.95</v>
      </c>
      <c r="E348">
        <v>0</v>
      </c>
      <c r="F348">
        <v>2726.95</v>
      </c>
      <c r="G348">
        <v>536.05999999999995</v>
      </c>
      <c r="H348">
        <v>2190.89</v>
      </c>
      <c r="I348">
        <v>80812.53</v>
      </c>
      <c r="J348">
        <v>-2726.95</v>
      </c>
    </row>
    <row r="349" spans="1:10" x14ac:dyDescent="0.35">
      <c r="A349">
        <v>328</v>
      </c>
      <c r="B349">
        <v>7.7499999999999999E-2</v>
      </c>
      <c r="C349">
        <v>6.45833E-3</v>
      </c>
      <c r="D349">
        <v>2726.95</v>
      </c>
      <c r="E349">
        <v>0</v>
      </c>
      <c r="F349">
        <v>2726.95</v>
      </c>
      <c r="G349">
        <v>521.91</v>
      </c>
      <c r="H349">
        <v>2205.04</v>
      </c>
      <c r="I349">
        <v>78607.490000000005</v>
      </c>
      <c r="J349">
        <v>-2726.95</v>
      </c>
    </row>
    <row r="350" spans="1:10" x14ac:dyDescent="0.35">
      <c r="A350">
        <v>329</v>
      </c>
      <c r="B350">
        <v>7.7499999999999999E-2</v>
      </c>
      <c r="C350">
        <v>6.45833E-3</v>
      </c>
      <c r="D350">
        <v>2726.95</v>
      </c>
      <c r="E350">
        <v>0</v>
      </c>
      <c r="F350">
        <v>2726.95</v>
      </c>
      <c r="G350">
        <v>507.67</v>
      </c>
      <c r="H350">
        <v>2219.2800000000002</v>
      </c>
      <c r="I350">
        <v>76388.210000000006</v>
      </c>
      <c r="J350">
        <v>-2726.95</v>
      </c>
    </row>
    <row r="351" spans="1:10" x14ac:dyDescent="0.35">
      <c r="A351">
        <v>330</v>
      </c>
      <c r="B351">
        <v>7.7499999999999999E-2</v>
      </c>
      <c r="C351">
        <v>6.45833E-3</v>
      </c>
      <c r="D351">
        <v>2726.95</v>
      </c>
      <c r="E351">
        <v>0</v>
      </c>
      <c r="F351">
        <v>2726.95</v>
      </c>
      <c r="G351">
        <v>493.34</v>
      </c>
      <c r="H351">
        <v>2233.61</v>
      </c>
      <c r="I351">
        <v>74154.600000000006</v>
      </c>
      <c r="J351">
        <v>-2726.95</v>
      </c>
    </row>
    <row r="352" spans="1:10" x14ac:dyDescent="0.35">
      <c r="A352">
        <v>331</v>
      </c>
      <c r="B352">
        <v>7.7499999999999999E-2</v>
      </c>
      <c r="C352">
        <v>6.45833E-3</v>
      </c>
      <c r="D352">
        <v>2726.95</v>
      </c>
      <c r="E352">
        <v>0</v>
      </c>
      <c r="F352">
        <v>2726.95</v>
      </c>
      <c r="G352">
        <v>478.92</v>
      </c>
      <c r="H352">
        <v>2248.04</v>
      </c>
      <c r="I352">
        <v>71906.559999999998</v>
      </c>
      <c r="J352">
        <v>-2726.95</v>
      </c>
    </row>
    <row r="353" spans="1:10" x14ac:dyDescent="0.35">
      <c r="A353">
        <v>332</v>
      </c>
      <c r="B353">
        <v>7.7499999999999999E-2</v>
      </c>
      <c r="C353">
        <v>6.45833E-3</v>
      </c>
      <c r="D353">
        <v>2726.95</v>
      </c>
      <c r="E353">
        <v>0</v>
      </c>
      <c r="F353">
        <v>2726.95</v>
      </c>
      <c r="G353">
        <v>464.4</v>
      </c>
      <c r="H353">
        <v>2262.56</v>
      </c>
      <c r="I353">
        <v>69644</v>
      </c>
      <c r="J353">
        <v>-2726.95</v>
      </c>
    </row>
    <row r="354" spans="1:10" x14ac:dyDescent="0.35">
      <c r="A354">
        <v>333</v>
      </c>
      <c r="B354">
        <v>7.7499999999999999E-2</v>
      </c>
      <c r="C354">
        <v>6.45833E-3</v>
      </c>
      <c r="D354">
        <v>2726.95</v>
      </c>
      <c r="E354">
        <v>0</v>
      </c>
      <c r="F354">
        <v>2726.95</v>
      </c>
      <c r="G354">
        <v>449.78</v>
      </c>
      <c r="H354">
        <v>2277.17</v>
      </c>
      <c r="I354">
        <v>67366.83</v>
      </c>
      <c r="J354">
        <v>-2726.95</v>
      </c>
    </row>
    <row r="355" spans="1:10" x14ac:dyDescent="0.35">
      <c r="A355">
        <v>334</v>
      </c>
      <c r="B355">
        <v>7.7499999999999999E-2</v>
      </c>
      <c r="C355">
        <v>6.45833E-3</v>
      </c>
      <c r="D355">
        <v>2726.95</v>
      </c>
      <c r="E355">
        <v>0</v>
      </c>
      <c r="F355">
        <v>2726.95</v>
      </c>
      <c r="G355">
        <v>435.08</v>
      </c>
      <c r="H355">
        <v>2291.88</v>
      </c>
      <c r="I355">
        <v>65074.96</v>
      </c>
      <c r="J355">
        <v>-2726.95</v>
      </c>
    </row>
    <row r="356" spans="1:10" x14ac:dyDescent="0.35">
      <c r="A356">
        <v>335</v>
      </c>
      <c r="B356">
        <v>7.7499999999999999E-2</v>
      </c>
      <c r="C356">
        <v>6.45833E-3</v>
      </c>
      <c r="D356">
        <v>2726.95</v>
      </c>
      <c r="E356">
        <v>0</v>
      </c>
      <c r="F356">
        <v>2726.95</v>
      </c>
      <c r="G356">
        <v>420.28</v>
      </c>
      <c r="H356">
        <v>2306.6799999999998</v>
      </c>
      <c r="I356">
        <v>62768.28</v>
      </c>
      <c r="J356">
        <v>-2726.95</v>
      </c>
    </row>
    <row r="357" spans="1:10" x14ac:dyDescent="0.35">
      <c r="A357">
        <v>336</v>
      </c>
      <c r="B357">
        <v>7.7499999999999999E-2</v>
      </c>
      <c r="C357">
        <v>6.45833E-3</v>
      </c>
      <c r="D357">
        <v>2726.95</v>
      </c>
      <c r="E357">
        <v>0</v>
      </c>
      <c r="F357">
        <v>2726.95</v>
      </c>
      <c r="G357">
        <v>405.38</v>
      </c>
      <c r="H357">
        <v>2321.58</v>
      </c>
      <c r="I357">
        <v>60446.7</v>
      </c>
      <c r="J357">
        <v>-2726.95</v>
      </c>
    </row>
    <row r="358" spans="1:10" x14ac:dyDescent="0.35">
      <c r="A358">
        <v>337</v>
      </c>
      <c r="B358">
        <v>7.7499999999999999E-2</v>
      </c>
      <c r="C358">
        <v>6.45833E-3</v>
      </c>
      <c r="D358">
        <v>2726.95</v>
      </c>
      <c r="E358">
        <v>0</v>
      </c>
      <c r="F358">
        <v>2726.95</v>
      </c>
      <c r="G358">
        <v>390.38</v>
      </c>
      <c r="H358">
        <v>2336.5700000000002</v>
      </c>
      <c r="I358">
        <v>58110.14</v>
      </c>
      <c r="J358">
        <v>-2726.95</v>
      </c>
    </row>
    <row r="359" spans="1:10" x14ac:dyDescent="0.35">
      <c r="A359">
        <v>338</v>
      </c>
      <c r="B359">
        <v>7.7499999999999999E-2</v>
      </c>
      <c r="C359">
        <v>6.45833E-3</v>
      </c>
      <c r="D359">
        <v>2726.95</v>
      </c>
      <c r="E359">
        <v>0</v>
      </c>
      <c r="F359">
        <v>2726.95</v>
      </c>
      <c r="G359">
        <v>375.29</v>
      </c>
      <c r="H359">
        <v>2351.66</v>
      </c>
      <c r="I359">
        <v>55758.48</v>
      </c>
      <c r="J359">
        <v>-2726.95</v>
      </c>
    </row>
    <row r="360" spans="1:10" x14ac:dyDescent="0.35">
      <c r="A360">
        <v>339</v>
      </c>
      <c r="B360">
        <v>7.7499999999999999E-2</v>
      </c>
      <c r="C360">
        <v>6.45833E-3</v>
      </c>
      <c r="D360">
        <v>2726.95</v>
      </c>
      <c r="E360">
        <v>0</v>
      </c>
      <c r="F360">
        <v>2726.95</v>
      </c>
      <c r="G360">
        <v>360.11</v>
      </c>
      <c r="H360">
        <v>2366.85</v>
      </c>
      <c r="I360">
        <v>53391.63</v>
      </c>
      <c r="J360">
        <v>-2726.95</v>
      </c>
    </row>
    <row r="361" spans="1:10" x14ac:dyDescent="0.35">
      <c r="A361">
        <v>340</v>
      </c>
      <c r="B361">
        <v>7.7499999999999999E-2</v>
      </c>
      <c r="C361">
        <v>6.45833E-3</v>
      </c>
      <c r="D361">
        <v>2726.95</v>
      </c>
      <c r="E361">
        <v>0</v>
      </c>
      <c r="F361">
        <v>2726.95</v>
      </c>
      <c r="G361">
        <v>344.82</v>
      </c>
      <c r="H361">
        <v>2382.13</v>
      </c>
      <c r="I361">
        <v>51009.5</v>
      </c>
      <c r="J361">
        <v>-2726.95</v>
      </c>
    </row>
    <row r="362" spans="1:10" x14ac:dyDescent="0.35">
      <c r="A362">
        <v>341</v>
      </c>
      <c r="B362">
        <v>7.7499999999999999E-2</v>
      </c>
      <c r="C362">
        <v>6.45833E-3</v>
      </c>
      <c r="D362">
        <v>2726.95</v>
      </c>
      <c r="E362">
        <v>0</v>
      </c>
      <c r="F362">
        <v>2726.95</v>
      </c>
      <c r="G362">
        <v>329.44</v>
      </c>
      <c r="H362">
        <v>2397.52</v>
      </c>
      <c r="I362">
        <v>48611.98</v>
      </c>
      <c r="J362">
        <v>-2726.95</v>
      </c>
    </row>
    <row r="363" spans="1:10" x14ac:dyDescent="0.35">
      <c r="A363">
        <v>342</v>
      </c>
      <c r="B363">
        <v>7.7499999999999999E-2</v>
      </c>
      <c r="C363">
        <v>6.45833E-3</v>
      </c>
      <c r="D363">
        <v>2726.95</v>
      </c>
      <c r="E363">
        <v>0</v>
      </c>
      <c r="F363">
        <v>2726.95</v>
      </c>
      <c r="G363">
        <v>313.95</v>
      </c>
      <c r="H363">
        <v>2413</v>
      </c>
      <c r="I363">
        <v>46198.98</v>
      </c>
      <c r="J363">
        <v>-2726.95</v>
      </c>
    </row>
    <row r="364" spans="1:10" x14ac:dyDescent="0.35">
      <c r="A364">
        <v>343</v>
      </c>
      <c r="B364">
        <v>7.7499999999999999E-2</v>
      </c>
      <c r="C364">
        <v>6.45833E-3</v>
      </c>
      <c r="D364">
        <v>2726.95</v>
      </c>
      <c r="E364">
        <v>0</v>
      </c>
      <c r="F364">
        <v>2726.95</v>
      </c>
      <c r="G364">
        <v>298.37</v>
      </c>
      <c r="H364">
        <v>2428.59</v>
      </c>
      <c r="I364">
        <v>43770.39</v>
      </c>
      <c r="J364">
        <v>-2726.95</v>
      </c>
    </row>
    <row r="365" spans="1:10" x14ac:dyDescent="0.35">
      <c r="A365">
        <v>344</v>
      </c>
      <c r="B365">
        <v>7.7499999999999999E-2</v>
      </c>
      <c r="C365">
        <v>6.45833E-3</v>
      </c>
      <c r="D365">
        <v>2726.95</v>
      </c>
      <c r="E365">
        <v>0</v>
      </c>
      <c r="F365">
        <v>2726.95</v>
      </c>
      <c r="G365">
        <v>282.68</v>
      </c>
      <c r="H365">
        <v>2444.27</v>
      </c>
      <c r="I365">
        <v>41326.120000000003</v>
      </c>
      <c r="J365">
        <v>-2726.95</v>
      </c>
    </row>
    <row r="366" spans="1:10" x14ac:dyDescent="0.35">
      <c r="A366">
        <v>345</v>
      </c>
      <c r="B366">
        <v>7.7499999999999999E-2</v>
      </c>
      <c r="C366">
        <v>6.45833E-3</v>
      </c>
      <c r="D366">
        <v>2726.95</v>
      </c>
      <c r="E366">
        <v>0</v>
      </c>
      <c r="F366">
        <v>2726.95</v>
      </c>
      <c r="G366">
        <v>266.89999999999998</v>
      </c>
      <c r="H366">
        <v>2460.06</v>
      </c>
      <c r="I366">
        <v>38866.07</v>
      </c>
      <c r="J366">
        <v>-2726.95</v>
      </c>
    </row>
    <row r="367" spans="1:10" x14ac:dyDescent="0.35">
      <c r="A367">
        <v>346</v>
      </c>
      <c r="B367">
        <v>7.7499999999999999E-2</v>
      </c>
      <c r="C367">
        <v>6.45833E-3</v>
      </c>
      <c r="D367">
        <v>2726.95</v>
      </c>
      <c r="E367">
        <v>0</v>
      </c>
      <c r="F367">
        <v>2726.95</v>
      </c>
      <c r="G367">
        <v>251.01</v>
      </c>
      <c r="H367">
        <v>2475.94</v>
      </c>
      <c r="I367">
        <v>36390.120000000003</v>
      </c>
      <c r="J367">
        <v>-2726.95</v>
      </c>
    </row>
    <row r="368" spans="1:10" x14ac:dyDescent="0.35">
      <c r="A368">
        <v>347</v>
      </c>
      <c r="B368">
        <v>7.7499999999999999E-2</v>
      </c>
      <c r="C368">
        <v>6.45833E-3</v>
      </c>
      <c r="D368">
        <v>2726.95</v>
      </c>
      <c r="E368">
        <v>0</v>
      </c>
      <c r="F368">
        <v>2726.95</v>
      </c>
      <c r="G368">
        <v>235.02</v>
      </c>
      <c r="H368">
        <v>2491.9299999999998</v>
      </c>
      <c r="I368">
        <v>33898.19</v>
      </c>
      <c r="J368">
        <v>-2726.95</v>
      </c>
    </row>
    <row r="369" spans="1:10" x14ac:dyDescent="0.35">
      <c r="A369">
        <v>348</v>
      </c>
      <c r="B369">
        <v>7.7499999999999999E-2</v>
      </c>
      <c r="C369">
        <v>6.45833E-3</v>
      </c>
      <c r="D369">
        <v>2726.95</v>
      </c>
      <c r="E369">
        <v>0</v>
      </c>
      <c r="F369">
        <v>2726.95</v>
      </c>
      <c r="G369">
        <v>218.93</v>
      </c>
      <c r="H369">
        <v>2508.0300000000002</v>
      </c>
      <c r="I369">
        <v>31390.16</v>
      </c>
      <c r="J369">
        <v>-2726.95</v>
      </c>
    </row>
    <row r="370" spans="1:10" x14ac:dyDescent="0.35">
      <c r="A370">
        <v>349</v>
      </c>
      <c r="B370">
        <v>7.7499999999999999E-2</v>
      </c>
      <c r="C370">
        <v>6.45833E-3</v>
      </c>
      <c r="D370">
        <v>2726.95</v>
      </c>
      <c r="E370">
        <v>0</v>
      </c>
      <c r="F370">
        <v>2726.95</v>
      </c>
      <c r="G370">
        <v>202.73</v>
      </c>
      <c r="H370">
        <v>2524.23</v>
      </c>
      <c r="I370">
        <v>28865.94</v>
      </c>
      <c r="J370">
        <v>-2726.95</v>
      </c>
    </row>
    <row r="371" spans="1:10" x14ac:dyDescent="0.35">
      <c r="A371">
        <v>350</v>
      </c>
      <c r="B371">
        <v>7.7499999999999999E-2</v>
      </c>
      <c r="C371">
        <v>6.45833E-3</v>
      </c>
      <c r="D371">
        <v>2726.95</v>
      </c>
      <c r="E371">
        <v>0</v>
      </c>
      <c r="F371">
        <v>2726.95</v>
      </c>
      <c r="G371">
        <v>186.43</v>
      </c>
      <c r="H371">
        <v>2540.5300000000002</v>
      </c>
      <c r="I371">
        <v>26325.41</v>
      </c>
      <c r="J371">
        <v>-2726.95</v>
      </c>
    </row>
    <row r="372" spans="1:10" x14ac:dyDescent="0.35">
      <c r="A372">
        <v>351</v>
      </c>
      <c r="B372">
        <v>7.7499999999999999E-2</v>
      </c>
      <c r="C372">
        <v>6.45833E-3</v>
      </c>
      <c r="D372">
        <v>2726.95</v>
      </c>
      <c r="E372">
        <v>0</v>
      </c>
      <c r="F372">
        <v>2726.95</v>
      </c>
      <c r="G372">
        <v>170.02</v>
      </c>
      <c r="H372">
        <v>2556.94</v>
      </c>
      <c r="I372">
        <v>23768.47</v>
      </c>
      <c r="J372">
        <v>-2726.95</v>
      </c>
    </row>
    <row r="373" spans="1:10" x14ac:dyDescent="0.35">
      <c r="A373">
        <v>352</v>
      </c>
      <c r="B373">
        <v>7.7499999999999999E-2</v>
      </c>
      <c r="C373">
        <v>6.45833E-3</v>
      </c>
      <c r="D373">
        <v>2726.95</v>
      </c>
      <c r="E373">
        <v>0</v>
      </c>
      <c r="F373">
        <v>2726.95</v>
      </c>
      <c r="G373">
        <v>153.5</v>
      </c>
      <c r="H373">
        <v>2573.4499999999998</v>
      </c>
      <c r="I373">
        <v>21195.02</v>
      </c>
      <c r="J373">
        <v>-2726.95</v>
      </c>
    </row>
    <row r="374" spans="1:10" x14ac:dyDescent="0.35">
      <c r="A374">
        <v>353</v>
      </c>
      <c r="B374">
        <v>7.7499999999999999E-2</v>
      </c>
      <c r="C374">
        <v>6.45833E-3</v>
      </c>
      <c r="D374">
        <v>2726.95</v>
      </c>
      <c r="E374">
        <v>0</v>
      </c>
      <c r="F374">
        <v>2726.95</v>
      </c>
      <c r="G374">
        <v>136.88</v>
      </c>
      <c r="H374">
        <v>2590.0700000000002</v>
      </c>
      <c r="I374">
        <v>18604.95</v>
      </c>
      <c r="J374">
        <v>-2726.95</v>
      </c>
    </row>
    <row r="375" spans="1:10" x14ac:dyDescent="0.35">
      <c r="A375">
        <v>354</v>
      </c>
      <c r="B375">
        <v>7.7499999999999999E-2</v>
      </c>
      <c r="C375">
        <v>6.45833E-3</v>
      </c>
      <c r="D375">
        <v>2726.95</v>
      </c>
      <c r="E375">
        <v>0</v>
      </c>
      <c r="F375">
        <v>2726.95</v>
      </c>
      <c r="G375">
        <v>120.16</v>
      </c>
      <c r="H375">
        <v>2606.8000000000002</v>
      </c>
      <c r="I375">
        <v>15998.16</v>
      </c>
      <c r="J375">
        <v>-2726.95</v>
      </c>
    </row>
    <row r="376" spans="1:10" x14ac:dyDescent="0.35">
      <c r="A376">
        <v>355</v>
      </c>
      <c r="B376">
        <v>7.7499999999999999E-2</v>
      </c>
      <c r="C376">
        <v>6.45833E-3</v>
      </c>
      <c r="D376">
        <v>2726.95</v>
      </c>
      <c r="E376">
        <v>0</v>
      </c>
      <c r="F376">
        <v>2726.95</v>
      </c>
      <c r="G376">
        <v>103.32</v>
      </c>
      <c r="H376">
        <v>2623.63</v>
      </c>
      <c r="I376">
        <v>13374.53</v>
      </c>
      <c r="J376">
        <v>-2726.95</v>
      </c>
    </row>
    <row r="377" spans="1:10" x14ac:dyDescent="0.35">
      <c r="A377">
        <v>356</v>
      </c>
      <c r="B377">
        <v>7.7499999999999999E-2</v>
      </c>
      <c r="C377">
        <v>6.45833E-3</v>
      </c>
      <c r="D377">
        <v>2726.95</v>
      </c>
      <c r="E377">
        <v>0</v>
      </c>
      <c r="F377">
        <v>2726.95</v>
      </c>
      <c r="G377">
        <v>86.38</v>
      </c>
      <c r="H377">
        <v>2640.58</v>
      </c>
      <c r="I377">
        <v>10733.95</v>
      </c>
      <c r="J377">
        <v>-2726.95</v>
      </c>
    </row>
    <row r="378" spans="1:10" x14ac:dyDescent="0.35">
      <c r="A378">
        <v>357</v>
      </c>
      <c r="B378">
        <v>7.7499999999999999E-2</v>
      </c>
      <c r="C378">
        <v>6.45833E-3</v>
      </c>
      <c r="D378">
        <v>2726.95</v>
      </c>
      <c r="E378">
        <v>0</v>
      </c>
      <c r="F378">
        <v>2726.95</v>
      </c>
      <c r="G378">
        <v>69.319999999999993</v>
      </c>
      <c r="H378">
        <v>2657.63</v>
      </c>
      <c r="I378">
        <v>8076.32</v>
      </c>
      <c r="J378">
        <v>-2726.95</v>
      </c>
    </row>
    <row r="379" spans="1:10" x14ac:dyDescent="0.35">
      <c r="A379">
        <v>358</v>
      </c>
      <c r="B379">
        <v>7.7499999999999999E-2</v>
      </c>
      <c r="C379">
        <v>6.45833E-3</v>
      </c>
      <c r="D379">
        <v>2726.95</v>
      </c>
      <c r="E379">
        <v>0</v>
      </c>
      <c r="F379">
        <v>2726.95</v>
      </c>
      <c r="G379">
        <v>52.16</v>
      </c>
      <c r="H379">
        <v>2674.79</v>
      </c>
      <c r="I379">
        <v>5401.52</v>
      </c>
      <c r="J379">
        <v>-2726.95</v>
      </c>
    </row>
    <row r="380" spans="1:10" x14ac:dyDescent="0.35">
      <c r="A380">
        <v>359</v>
      </c>
      <c r="B380">
        <v>7.7499999999999999E-2</v>
      </c>
      <c r="C380">
        <v>6.45833E-3</v>
      </c>
      <c r="D380">
        <v>2726.95</v>
      </c>
      <c r="E380">
        <v>0</v>
      </c>
      <c r="F380">
        <v>2726.95</v>
      </c>
      <c r="G380">
        <v>34.880000000000003</v>
      </c>
      <c r="H380">
        <v>2692.07</v>
      </c>
      <c r="I380">
        <v>2709.46</v>
      </c>
      <c r="J380">
        <v>-2726.95</v>
      </c>
    </row>
    <row r="381" spans="1:10" x14ac:dyDescent="0.35">
      <c r="A381">
        <v>360</v>
      </c>
      <c r="B381">
        <v>7.7499999999999999E-2</v>
      </c>
      <c r="C381">
        <v>6.45833E-3</v>
      </c>
      <c r="D381">
        <v>2726.95</v>
      </c>
      <c r="E381">
        <v>0</v>
      </c>
      <c r="F381">
        <v>2726.95</v>
      </c>
      <c r="G381">
        <v>17.5</v>
      </c>
      <c r="H381">
        <v>2709.46</v>
      </c>
      <c r="I381">
        <v>0</v>
      </c>
      <c r="J381">
        <v>-2726.95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A3E18-768C-4EC9-ADC3-BCB5352125EC}">
  <dimension ref="A1:N387"/>
  <sheetViews>
    <sheetView tabSelected="1" workbookViewId="0">
      <selection activeCell="H28" sqref="H28"/>
    </sheetView>
  </sheetViews>
  <sheetFormatPr defaultRowHeight="14.5" x14ac:dyDescent="0.35"/>
  <cols>
    <col min="1" max="1" width="23.7265625" bestFit="1" customWidth="1"/>
    <col min="8" max="8" width="9.36328125" bestFit="1" customWidth="1"/>
    <col min="9" max="9" width="10.36328125" bestFit="1" customWidth="1"/>
    <col min="12" max="12" width="22.6328125" bestFit="1" customWidth="1"/>
    <col min="13" max="13" width="24.54296875" bestFit="1" customWidth="1"/>
  </cols>
  <sheetData>
    <row r="1" spans="1:12" x14ac:dyDescent="0.35">
      <c r="A1" t="s">
        <v>0</v>
      </c>
      <c r="B1">
        <v>400000</v>
      </c>
    </row>
    <row r="2" spans="1:12" x14ac:dyDescent="0.35">
      <c r="A2" t="s">
        <v>1</v>
      </c>
      <c r="B2">
        <v>0.87</v>
      </c>
    </row>
    <row r="3" spans="1:12" x14ac:dyDescent="0.35">
      <c r="A3" t="s">
        <v>2</v>
      </c>
      <c r="B3">
        <f>B1/B2</f>
        <v>459770.11494252871</v>
      </c>
    </row>
    <row r="4" spans="1:12" x14ac:dyDescent="0.35">
      <c r="A4" t="s">
        <v>3</v>
      </c>
      <c r="B4">
        <v>0.78</v>
      </c>
    </row>
    <row r="5" spans="1:12" x14ac:dyDescent="0.35">
      <c r="A5" t="s">
        <v>4</v>
      </c>
      <c r="B5">
        <f>B3*B4</f>
        <v>358620.68965517241</v>
      </c>
    </row>
    <row r="6" spans="1:12" x14ac:dyDescent="0.35">
      <c r="A6" t="s">
        <v>5</v>
      </c>
      <c r="B6">
        <v>26988.77</v>
      </c>
      <c r="G6">
        <f>0.22*B3</f>
        <v>101149.42528735632</v>
      </c>
    </row>
    <row r="7" spans="1:12" x14ac:dyDescent="0.35">
      <c r="A7" t="s">
        <v>6</v>
      </c>
      <c r="B7">
        <v>360</v>
      </c>
    </row>
    <row r="8" spans="1:12" x14ac:dyDescent="0.35">
      <c r="A8" t="s">
        <v>7</v>
      </c>
      <c r="B8">
        <v>0.04</v>
      </c>
      <c r="G8" t="s">
        <v>34</v>
      </c>
    </row>
    <row r="9" spans="1:12" x14ac:dyDescent="0.35">
      <c r="A9" t="s">
        <v>8</v>
      </c>
      <c r="B9">
        <v>60</v>
      </c>
    </row>
    <row r="10" spans="1:12" x14ac:dyDescent="0.35">
      <c r="A10" t="s">
        <v>9</v>
      </c>
      <c r="B10">
        <v>0.06</v>
      </c>
      <c r="G10">
        <f>D28*60</f>
        <v>114579.67091171027</v>
      </c>
      <c r="H10" t="s">
        <v>35</v>
      </c>
      <c r="I10">
        <f>G6</f>
        <v>101149.42528735632</v>
      </c>
    </row>
    <row r="11" spans="1:12" x14ac:dyDescent="0.35">
      <c r="A11" t="s">
        <v>10</v>
      </c>
      <c r="B11">
        <v>7.7499999999999999E-2</v>
      </c>
      <c r="L11" s="10">
        <f>400000-I87</f>
        <v>38209.874823818158</v>
      </c>
    </row>
    <row r="12" spans="1:12" x14ac:dyDescent="0.35">
      <c r="A12" t="s">
        <v>11</v>
      </c>
      <c r="B12">
        <v>0.02</v>
      </c>
    </row>
    <row r="13" spans="1:12" x14ac:dyDescent="0.35">
      <c r="A13" t="s">
        <v>12</v>
      </c>
      <c r="B13">
        <v>0.05</v>
      </c>
      <c r="G13" t="s">
        <v>36</v>
      </c>
    </row>
    <row r="14" spans="1:12" x14ac:dyDescent="0.35">
      <c r="A14" t="s">
        <v>13</v>
      </c>
      <c r="B14">
        <v>6</v>
      </c>
    </row>
    <row r="15" spans="1:12" x14ac:dyDescent="0.35">
      <c r="A15" t="s">
        <v>14</v>
      </c>
      <c r="B15">
        <v>100</v>
      </c>
      <c r="G15">
        <f>D88*6</f>
        <v>13965.96</v>
      </c>
      <c r="H15" t="s">
        <v>35</v>
      </c>
    </row>
    <row r="16" spans="1:12" x14ac:dyDescent="0.35">
      <c r="A16" t="s">
        <v>15</v>
      </c>
      <c r="B16">
        <f>B1-B6</f>
        <v>373011.23</v>
      </c>
    </row>
    <row r="26" spans="1:12" x14ac:dyDescent="0.35">
      <c r="A26" s="1" t="s">
        <v>16</v>
      </c>
      <c r="B26" s="1" t="s">
        <v>17</v>
      </c>
      <c r="C26" s="1" t="s">
        <v>18</v>
      </c>
      <c r="D26" s="1" t="s">
        <v>19</v>
      </c>
      <c r="E26" s="1" t="s">
        <v>20</v>
      </c>
      <c r="F26" s="1" t="s">
        <v>21</v>
      </c>
      <c r="G26" s="1" t="s">
        <v>22</v>
      </c>
      <c r="H26" s="1" t="s">
        <v>23</v>
      </c>
      <c r="I26" s="1" t="s">
        <v>24</v>
      </c>
      <c r="J26" s="1" t="s">
        <v>25</v>
      </c>
    </row>
    <row r="27" spans="1:12" x14ac:dyDescent="0.35">
      <c r="A27">
        <v>0</v>
      </c>
      <c r="I27">
        <v>400000</v>
      </c>
      <c r="J27">
        <v>373011.23</v>
      </c>
    </row>
    <row r="28" spans="1:12" x14ac:dyDescent="0.35">
      <c r="A28">
        <v>1</v>
      </c>
      <c r="B28">
        <v>0.04</v>
      </c>
      <c r="C28">
        <f>B28/12</f>
        <v>3.3333333333333335E-3</v>
      </c>
      <c r="D28" s="10">
        <f>L31</f>
        <v>1909.6611818618378</v>
      </c>
      <c r="E28">
        <v>100</v>
      </c>
      <c r="F28">
        <f>D28+E28</f>
        <v>2009.6611818618378</v>
      </c>
      <c r="G28" s="10">
        <f>C28*I27</f>
        <v>1333.3333333333335</v>
      </c>
      <c r="H28" s="10">
        <f>D28-G28</f>
        <v>576.32784852850432</v>
      </c>
      <c r="I28" s="10">
        <f>I27-H28</f>
        <v>399423.67215147149</v>
      </c>
      <c r="J28">
        <f>-F28</f>
        <v>-2009.6611818618378</v>
      </c>
    </row>
    <row r="29" spans="1:12" x14ac:dyDescent="0.35">
      <c r="A29">
        <v>2</v>
      </c>
      <c r="B29">
        <v>0.04</v>
      </c>
      <c r="C29">
        <f>B29/12</f>
        <v>3.3333333333333335E-3</v>
      </c>
      <c r="D29" s="10">
        <f>L31</f>
        <v>1909.6611818618378</v>
      </c>
      <c r="E29">
        <v>100</v>
      </c>
      <c r="F29">
        <f>D29+E29</f>
        <v>2009.6611818618378</v>
      </c>
      <c r="G29" s="10">
        <f>C29*I28</f>
        <v>1331.412240504905</v>
      </c>
      <c r="H29" s="10">
        <f>D29-G29</f>
        <v>578.24894135693285</v>
      </c>
      <c r="I29" s="10">
        <f>I28-H29</f>
        <v>398845.42321011453</v>
      </c>
      <c r="J29">
        <f>-F29</f>
        <v>-2009.6611818618378</v>
      </c>
    </row>
    <row r="30" spans="1:12" x14ac:dyDescent="0.35">
      <c r="A30">
        <v>3</v>
      </c>
      <c r="B30">
        <v>0.04</v>
      </c>
      <c r="C30">
        <f t="shared" ref="C30:C87" si="0">B30/12</f>
        <v>3.3333333333333335E-3</v>
      </c>
      <c r="D30" s="10">
        <f>L31</f>
        <v>1909.6611818618378</v>
      </c>
      <c r="E30">
        <v>100</v>
      </c>
      <c r="F30">
        <f t="shared" ref="F30:F87" si="1">D30+E30</f>
        <v>2009.6611818618378</v>
      </c>
      <c r="G30" s="10">
        <f t="shared" ref="G30:G87" si="2">C30*I29</f>
        <v>1329.4847440337153</v>
      </c>
      <c r="H30" s="10">
        <f t="shared" ref="H30:H87" si="3">D30-G30</f>
        <v>580.17643782812252</v>
      </c>
      <c r="I30" s="10">
        <f t="shared" ref="I30:I87" si="4">I29-H30</f>
        <v>398265.24677228642</v>
      </c>
      <c r="J30">
        <f t="shared" ref="J30:J87" si="5">-F30</f>
        <v>-2009.6611818618378</v>
      </c>
    </row>
    <row r="31" spans="1:12" x14ac:dyDescent="0.35">
      <c r="A31">
        <v>4</v>
      </c>
      <c r="B31">
        <v>0.04</v>
      </c>
      <c r="C31">
        <f t="shared" si="0"/>
        <v>3.3333333333333335E-3</v>
      </c>
      <c r="D31" s="10">
        <f>L31</f>
        <v>1909.6611818618378</v>
      </c>
      <c r="E31">
        <v>100</v>
      </c>
      <c r="F31">
        <f t="shared" si="1"/>
        <v>2009.6611818618378</v>
      </c>
      <c r="G31" s="10">
        <f t="shared" si="2"/>
        <v>1327.5508225742881</v>
      </c>
      <c r="H31" s="10">
        <f t="shared" si="3"/>
        <v>582.11035928754973</v>
      </c>
      <c r="I31" s="10">
        <f t="shared" si="4"/>
        <v>397683.13641299889</v>
      </c>
      <c r="J31">
        <f t="shared" si="5"/>
        <v>-2009.6611818618378</v>
      </c>
      <c r="L31" s="13">
        <f>-PMT(C28,360,I27)</f>
        <v>1909.6611818618378</v>
      </c>
    </row>
    <row r="32" spans="1:12" x14ac:dyDescent="0.35">
      <c r="A32">
        <v>5</v>
      </c>
      <c r="B32">
        <v>0.04</v>
      </c>
      <c r="C32">
        <f t="shared" si="0"/>
        <v>3.3333333333333335E-3</v>
      </c>
      <c r="D32">
        <v>1909.66</v>
      </c>
      <c r="E32">
        <v>100</v>
      </c>
      <c r="F32">
        <f t="shared" si="1"/>
        <v>2009.66</v>
      </c>
      <c r="G32" s="10">
        <f t="shared" si="2"/>
        <v>1325.6104547099965</v>
      </c>
      <c r="H32" s="10">
        <f t="shared" si="3"/>
        <v>584.04954529000361</v>
      </c>
      <c r="I32" s="10">
        <f t="shared" si="4"/>
        <v>397099.08686770889</v>
      </c>
      <c r="J32">
        <f t="shared" si="5"/>
        <v>-2009.66</v>
      </c>
    </row>
    <row r="33" spans="1:14" x14ac:dyDescent="0.35">
      <c r="A33">
        <v>6</v>
      </c>
      <c r="B33">
        <v>0.04</v>
      </c>
      <c r="C33">
        <f t="shared" si="0"/>
        <v>3.3333333333333335E-3</v>
      </c>
      <c r="D33">
        <v>1909.66</v>
      </c>
      <c r="E33">
        <v>100</v>
      </c>
      <c r="F33">
        <f t="shared" si="1"/>
        <v>2009.66</v>
      </c>
      <c r="G33" s="10">
        <f t="shared" si="2"/>
        <v>1323.663622892363</v>
      </c>
      <c r="H33" s="10">
        <f t="shared" si="3"/>
        <v>585.99637710763704</v>
      </c>
      <c r="I33" s="10">
        <f t="shared" si="4"/>
        <v>396513.09049060126</v>
      </c>
      <c r="J33">
        <f t="shared" si="5"/>
        <v>-2009.66</v>
      </c>
      <c r="N33" s="10">
        <f>-PMT(C88,300,I88)</f>
        <v>2327.6767951792294</v>
      </c>
    </row>
    <row r="34" spans="1:14" x14ac:dyDescent="0.35">
      <c r="A34">
        <v>7</v>
      </c>
      <c r="B34">
        <v>0.04</v>
      </c>
      <c r="C34">
        <f t="shared" si="0"/>
        <v>3.3333333333333335E-3</v>
      </c>
      <c r="D34">
        <v>1909.66</v>
      </c>
      <c r="E34">
        <v>100</v>
      </c>
      <c r="F34">
        <f t="shared" si="1"/>
        <v>2009.66</v>
      </c>
      <c r="G34" s="10">
        <f t="shared" si="2"/>
        <v>1321.7103016353376</v>
      </c>
      <c r="H34" s="10">
        <f t="shared" si="3"/>
        <v>587.94969836466248</v>
      </c>
      <c r="I34" s="10">
        <f t="shared" si="4"/>
        <v>395925.14079223661</v>
      </c>
      <c r="J34">
        <f t="shared" si="5"/>
        <v>-2009.66</v>
      </c>
    </row>
    <row r="35" spans="1:14" x14ac:dyDescent="0.35">
      <c r="A35">
        <v>8</v>
      </c>
      <c r="B35">
        <v>0.04</v>
      </c>
      <c r="C35">
        <f t="shared" si="0"/>
        <v>3.3333333333333335E-3</v>
      </c>
      <c r="D35">
        <v>1909.66</v>
      </c>
      <c r="E35">
        <v>100</v>
      </c>
      <c r="F35">
        <f t="shared" si="1"/>
        <v>2009.66</v>
      </c>
      <c r="G35" s="10">
        <f t="shared" si="2"/>
        <v>1319.7504693074554</v>
      </c>
      <c r="H35" s="10">
        <f t="shared" si="3"/>
        <v>589.90953069254465</v>
      </c>
      <c r="I35" s="10">
        <f t="shared" si="4"/>
        <v>395335.23126154405</v>
      </c>
      <c r="J35">
        <f t="shared" si="5"/>
        <v>-2009.66</v>
      </c>
    </row>
    <row r="36" spans="1:14" x14ac:dyDescent="0.35">
      <c r="A36">
        <v>9</v>
      </c>
      <c r="B36">
        <v>0.04</v>
      </c>
      <c r="C36">
        <f t="shared" si="0"/>
        <v>3.3333333333333335E-3</v>
      </c>
      <c r="D36">
        <v>1909.66</v>
      </c>
      <c r="E36">
        <v>100</v>
      </c>
      <c r="F36">
        <f t="shared" si="1"/>
        <v>2009.66</v>
      </c>
      <c r="G36" s="10">
        <f t="shared" si="2"/>
        <v>1317.7841042051468</v>
      </c>
      <c r="H36" s="10">
        <f t="shared" si="3"/>
        <v>591.87589579485325</v>
      </c>
      <c r="I36" s="10">
        <f t="shared" si="4"/>
        <v>394743.35536574922</v>
      </c>
      <c r="J36">
        <f t="shared" si="5"/>
        <v>-2009.66</v>
      </c>
    </row>
    <row r="37" spans="1:14" x14ac:dyDescent="0.35">
      <c r="A37">
        <v>10</v>
      </c>
      <c r="B37">
        <v>0.04</v>
      </c>
      <c r="C37">
        <f t="shared" si="0"/>
        <v>3.3333333333333335E-3</v>
      </c>
      <c r="D37">
        <v>1909.66</v>
      </c>
      <c r="E37">
        <v>100</v>
      </c>
      <c r="F37">
        <f t="shared" si="1"/>
        <v>2009.66</v>
      </c>
      <c r="G37" s="10">
        <f t="shared" si="2"/>
        <v>1315.8111845524975</v>
      </c>
      <c r="H37" s="10">
        <f t="shared" si="3"/>
        <v>593.8488154475026</v>
      </c>
      <c r="I37" s="10">
        <f t="shared" si="4"/>
        <v>394149.50655030174</v>
      </c>
      <c r="J37">
        <f t="shared" si="5"/>
        <v>-2009.66</v>
      </c>
    </row>
    <row r="38" spans="1:14" x14ac:dyDescent="0.35">
      <c r="A38">
        <v>11</v>
      </c>
      <c r="B38">
        <v>0.04</v>
      </c>
      <c r="C38">
        <f t="shared" si="0"/>
        <v>3.3333333333333335E-3</v>
      </c>
      <c r="D38">
        <v>1909.66</v>
      </c>
      <c r="E38">
        <v>100</v>
      </c>
      <c r="F38">
        <f t="shared" si="1"/>
        <v>2009.66</v>
      </c>
      <c r="G38" s="10">
        <f t="shared" si="2"/>
        <v>1313.8316885010058</v>
      </c>
      <c r="H38" s="10">
        <f t="shared" si="3"/>
        <v>595.82831149899425</v>
      </c>
      <c r="I38" s="10">
        <f t="shared" si="4"/>
        <v>393553.67823880276</v>
      </c>
      <c r="J38">
        <f t="shared" si="5"/>
        <v>-2009.66</v>
      </c>
    </row>
    <row r="39" spans="1:14" x14ac:dyDescent="0.35">
      <c r="A39">
        <v>12</v>
      </c>
      <c r="B39">
        <v>0.04</v>
      </c>
      <c r="C39">
        <f t="shared" si="0"/>
        <v>3.3333333333333335E-3</v>
      </c>
      <c r="D39">
        <v>1909.66</v>
      </c>
      <c r="E39">
        <v>100</v>
      </c>
      <c r="F39">
        <f t="shared" si="1"/>
        <v>2009.66</v>
      </c>
      <c r="G39" s="10">
        <f t="shared" si="2"/>
        <v>1311.8455941293425</v>
      </c>
      <c r="H39" s="10">
        <f t="shared" si="3"/>
        <v>597.81440587065754</v>
      </c>
      <c r="I39" s="10">
        <f t="shared" si="4"/>
        <v>392955.86383293208</v>
      </c>
      <c r="J39">
        <f t="shared" si="5"/>
        <v>-2009.66</v>
      </c>
    </row>
    <row r="40" spans="1:14" x14ac:dyDescent="0.35">
      <c r="A40">
        <v>13</v>
      </c>
      <c r="B40">
        <v>0.04</v>
      </c>
      <c r="C40">
        <f t="shared" si="0"/>
        <v>3.3333333333333335E-3</v>
      </c>
      <c r="D40">
        <v>1909.66</v>
      </c>
      <c r="E40">
        <v>100</v>
      </c>
      <c r="F40">
        <f t="shared" si="1"/>
        <v>2009.66</v>
      </c>
      <c r="G40" s="10">
        <f t="shared" si="2"/>
        <v>1309.852879443107</v>
      </c>
      <c r="H40" s="10">
        <f t="shared" si="3"/>
        <v>599.8071205568931</v>
      </c>
      <c r="I40" s="10">
        <f t="shared" si="4"/>
        <v>392356.0567123752</v>
      </c>
      <c r="J40">
        <f t="shared" si="5"/>
        <v>-2009.66</v>
      </c>
    </row>
    <row r="41" spans="1:14" x14ac:dyDescent="0.35">
      <c r="A41">
        <v>14</v>
      </c>
      <c r="B41">
        <v>0.04</v>
      </c>
      <c r="C41">
        <f t="shared" si="0"/>
        <v>3.3333333333333335E-3</v>
      </c>
      <c r="D41">
        <v>1909.66</v>
      </c>
      <c r="E41">
        <v>100</v>
      </c>
      <c r="F41">
        <f t="shared" si="1"/>
        <v>2009.66</v>
      </c>
      <c r="G41" s="10">
        <f t="shared" si="2"/>
        <v>1307.8535223745841</v>
      </c>
      <c r="H41" s="10">
        <f t="shared" si="3"/>
        <v>601.80647762541594</v>
      </c>
      <c r="I41" s="10">
        <f t="shared" si="4"/>
        <v>391754.25023474981</v>
      </c>
      <c r="J41">
        <f t="shared" si="5"/>
        <v>-2009.66</v>
      </c>
    </row>
    <row r="42" spans="1:14" x14ac:dyDescent="0.35">
      <c r="A42">
        <v>15</v>
      </c>
      <c r="B42">
        <v>0.04</v>
      </c>
      <c r="C42">
        <f t="shared" si="0"/>
        <v>3.3333333333333335E-3</v>
      </c>
      <c r="D42">
        <v>1909.66</v>
      </c>
      <c r="E42">
        <v>100</v>
      </c>
      <c r="F42">
        <f t="shared" si="1"/>
        <v>2009.66</v>
      </c>
      <c r="G42" s="10">
        <f t="shared" si="2"/>
        <v>1305.8475007824995</v>
      </c>
      <c r="H42" s="10">
        <f t="shared" si="3"/>
        <v>603.81249921750054</v>
      </c>
      <c r="I42" s="10">
        <f t="shared" si="4"/>
        <v>391150.43773553229</v>
      </c>
      <c r="J42">
        <f t="shared" si="5"/>
        <v>-2009.66</v>
      </c>
    </row>
    <row r="43" spans="1:14" x14ac:dyDescent="0.35">
      <c r="A43">
        <v>16</v>
      </c>
      <c r="B43">
        <v>0.04</v>
      </c>
      <c r="C43">
        <f t="shared" si="0"/>
        <v>3.3333333333333335E-3</v>
      </c>
      <c r="D43">
        <v>1909.66</v>
      </c>
      <c r="E43">
        <v>100</v>
      </c>
      <c r="F43">
        <f t="shared" si="1"/>
        <v>2009.66</v>
      </c>
      <c r="G43" s="10">
        <f t="shared" si="2"/>
        <v>1303.8347924517743</v>
      </c>
      <c r="H43" s="10">
        <f t="shared" si="3"/>
        <v>605.82520754822576</v>
      </c>
      <c r="I43" s="10">
        <f t="shared" si="4"/>
        <v>390544.61252798408</v>
      </c>
      <c r="J43">
        <f t="shared" si="5"/>
        <v>-2009.66</v>
      </c>
    </row>
    <row r="44" spans="1:14" x14ac:dyDescent="0.35">
      <c r="A44">
        <v>17</v>
      </c>
      <c r="B44">
        <v>0.04</v>
      </c>
      <c r="C44">
        <f t="shared" si="0"/>
        <v>3.3333333333333335E-3</v>
      </c>
      <c r="D44">
        <v>1909.66</v>
      </c>
      <c r="E44">
        <v>100</v>
      </c>
      <c r="F44">
        <f t="shared" si="1"/>
        <v>2009.66</v>
      </c>
      <c r="G44" s="10">
        <f t="shared" si="2"/>
        <v>1301.8153750932804</v>
      </c>
      <c r="H44" s="10">
        <f t="shared" si="3"/>
        <v>607.84462490671967</v>
      </c>
      <c r="I44" s="10">
        <f t="shared" si="4"/>
        <v>389936.76790307736</v>
      </c>
      <c r="J44">
        <f t="shared" si="5"/>
        <v>-2009.66</v>
      </c>
    </row>
    <row r="45" spans="1:14" x14ac:dyDescent="0.35">
      <c r="A45">
        <v>18</v>
      </c>
      <c r="B45">
        <v>0.04</v>
      </c>
      <c r="C45">
        <f t="shared" si="0"/>
        <v>3.3333333333333335E-3</v>
      </c>
      <c r="D45">
        <v>1909.66</v>
      </c>
      <c r="E45">
        <v>100</v>
      </c>
      <c r="F45">
        <f t="shared" si="1"/>
        <v>2009.66</v>
      </c>
      <c r="G45" s="10">
        <f t="shared" si="2"/>
        <v>1299.7892263435913</v>
      </c>
      <c r="H45" s="10">
        <f t="shared" si="3"/>
        <v>609.8707736564088</v>
      </c>
      <c r="I45" s="10">
        <f t="shared" si="4"/>
        <v>389326.89712942095</v>
      </c>
      <c r="J45">
        <f t="shared" si="5"/>
        <v>-2009.66</v>
      </c>
    </row>
    <row r="46" spans="1:14" x14ac:dyDescent="0.35">
      <c r="A46">
        <v>19</v>
      </c>
      <c r="B46">
        <v>0.04</v>
      </c>
      <c r="C46">
        <f t="shared" si="0"/>
        <v>3.3333333333333335E-3</v>
      </c>
      <c r="D46">
        <v>1909.66</v>
      </c>
      <c r="E46">
        <v>100</v>
      </c>
      <c r="F46">
        <f t="shared" si="1"/>
        <v>2009.66</v>
      </c>
      <c r="G46" s="10">
        <f t="shared" si="2"/>
        <v>1297.7563237647366</v>
      </c>
      <c r="H46" s="10">
        <f t="shared" si="3"/>
        <v>611.90367623526345</v>
      </c>
      <c r="I46" s="10">
        <f t="shared" si="4"/>
        <v>388714.99345318566</v>
      </c>
      <c r="J46">
        <f t="shared" si="5"/>
        <v>-2009.66</v>
      </c>
    </row>
    <row r="47" spans="1:14" x14ac:dyDescent="0.35">
      <c r="A47">
        <v>20</v>
      </c>
      <c r="B47">
        <v>0.04</v>
      </c>
      <c r="C47">
        <f t="shared" si="0"/>
        <v>3.3333333333333335E-3</v>
      </c>
      <c r="D47">
        <v>1909.66</v>
      </c>
      <c r="E47">
        <v>100</v>
      </c>
      <c r="F47">
        <f t="shared" si="1"/>
        <v>2009.66</v>
      </c>
      <c r="G47" s="10">
        <f t="shared" si="2"/>
        <v>1295.7166448439523</v>
      </c>
      <c r="H47" s="10">
        <f t="shared" si="3"/>
        <v>613.9433551560478</v>
      </c>
      <c r="I47" s="10">
        <f t="shared" si="4"/>
        <v>388101.05009802961</v>
      </c>
      <c r="J47">
        <f t="shared" si="5"/>
        <v>-2009.66</v>
      </c>
    </row>
    <row r="48" spans="1:14" x14ac:dyDescent="0.35">
      <c r="A48">
        <v>21</v>
      </c>
      <c r="B48">
        <v>0.04</v>
      </c>
      <c r="C48">
        <f t="shared" si="0"/>
        <v>3.3333333333333335E-3</v>
      </c>
      <c r="D48">
        <v>1909.66</v>
      </c>
      <c r="E48">
        <v>100</v>
      </c>
      <c r="F48">
        <f t="shared" si="1"/>
        <v>2009.66</v>
      </c>
      <c r="G48" s="10">
        <f t="shared" si="2"/>
        <v>1293.6701669934321</v>
      </c>
      <c r="H48" s="10">
        <f t="shared" si="3"/>
        <v>615.98983300656801</v>
      </c>
      <c r="I48" s="10">
        <f t="shared" si="4"/>
        <v>387485.06026502303</v>
      </c>
      <c r="J48">
        <f t="shared" si="5"/>
        <v>-2009.66</v>
      </c>
    </row>
    <row r="49" spans="1:10" x14ac:dyDescent="0.35">
      <c r="A49">
        <v>22</v>
      </c>
      <c r="B49">
        <v>0.04</v>
      </c>
      <c r="C49">
        <f t="shared" si="0"/>
        <v>3.3333333333333335E-3</v>
      </c>
      <c r="D49">
        <v>1909.66</v>
      </c>
      <c r="E49">
        <v>100</v>
      </c>
      <c r="F49">
        <f t="shared" si="1"/>
        <v>2009.66</v>
      </c>
      <c r="G49" s="10">
        <f t="shared" si="2"/>
        <v>1291.6168675500769</v>
      </c>
      <c r="H49" s="10">
        <f t="shared" si="3"/>
        <v>618.04313244992318</v>
      </c>
      <c r="I49" s="10">
        <f t="shared" si="4"/>
        <v>386867.01713257312</v>
      </c>
      <c r="J49">
        <f t="shared" si="5"/>
        <v>-2009.66</v>
      </c>
    </row>
    <row r="50" spans="1:10" x14ac:dyDescent="0.35">
      <c r="A50">
        <v>23</v>
      </c>
      <c r="B50">
        <v>0.04</v>
      </c>
      <c r="C50">
        <f t="shared" si="0"/>
        <v>3.3333333333333335E-3</v>
      </c>
      <c r="D50">
        <v>1909.66</v>
      </c>
      <c r="E50">
        <v>100</v>
      </c>
      <c r="F50">
        <f t="shared" si="1"/>
        <v>2009.66</v>
      </c>
      <c r="G50" s="10">
        <f t="shared" si="2"/>
        <v>1289.5567237752439</v>
      </c>
      <c r="H50" s="10">
        <f t="shared" si="3"/>
        <v>620.1032762247562</v>
      </c>
      <c r="I50" s="10">
        <f t="shared" si="4"/>
        <v>386246.91385634837</v>
      </c>
      <c r="J50">
        <f t="shared" si="5"/>
        <v>-2009.66</v>
      </c>
    </row>
    <row r="51" spans="1:10" x14ac:dyDescent="0.35">
      <c r="A51">
        <v>24</v>
      </c>
      <c r="B51">
        <v>0.04</v>
      </c>
      <c r="C51">
        <f t="shared" si="0"/>
        <v>3.3333333333333335E-3</v>
      </c>
      <c r="D51">
        <v>1909.66</v>
      </c>
      <c r="E51">
        <v>100</v>
      </c>
      <c r="F51">
        <f t="shared" si="1"/>
        <v>2009.66</v>
      </c>
      <c r="G51" s="10">
        <f t="shared" si="2"/>
        <v>1287.4897128544947</v>
      </c>
      <c r="H51" s="10">
        <f t="shared" si="3"/>
        <v>622.17028714550543</v>
      </c>
      <c r="I51" s="10">
        <f t="shared" si="4"/>
        <v>385624.74356920284</v>
      </c>
      <c r="J51">
        <f t="shared" si="5"/>
        <v>-2009.66</v>
      </c>
    </row>
    <row r="52" spans="1:10" x14ac:dyDescent="0.35">
      <c r="A52">
        <v>25</v>
      </c>
      <c r="B52">
        <v>0.04</v>
      </c>
      <c r="C52">
        <f t="shared" si="0"/>
        <v>3.3333333333333335E-3</v>
      </c>
      <c r="D52">
        <v>1909.66</v>
      </c>
      <c r="E52">
        <v>100</v>
      </c>
      <c r="F52">
        <f t="shared" si="1"/>
        <v>2009.66</v>
      </c>
      <c r="G52" s="10">
        <f t="shared" si="2"/>
        <v>1285.4158118973428</v>
      </c>
      <c r="H52" s="10">
        <f t="shared" si="3"/>
        <v>624.24418810265729</v>
      </c>
      <c r="I52" s="10">
        <f t="shared" si="4"/>
        <v>385000.49938110018</v>
      </c>
      <c r="J52">
        <f t="shared" si="5"/>
        <v>-2009.66</v>
      </c>
    </row>
    <row r="53" spans="1:10" x14ac:dyDescent="0.35">
      <c r="A53">
        <v>26</v>
      </c>
      <c r="B53">
        <v>0.04</v>
      </c>
      <c r="C53">
        <f t="shared" si="0"/>
        <v>3.3333333333333335E-3</v>
      </c>
      <c r="D53">
        <v>1909.66</v>
      </c>
      <c r="E53">
        <v>100</v>
      </c>
      <c r="F53">
        <f t="shared" si="1"/>
        <v>2009.66</v>
      </c>
      <c r="G53" s="10">
        <f t="shared" si="2"/>
        <v>1283.3349979370007</v>
      </c>
      <c r="H53" s="10">
        <f t="shared" si="3"/>
        <v>626.32500206299937</v>
      </c>
      <c r="I53" s="10">
        <f t="shared" si="4"/>
        <v>384374.17437903717</v>
      </c>
      <c r="J53">
        <f t="shared" si="5"/>
        <v>-2009.66</v>
      </c>
    </row>
    <row r="54" spans="1:10" x14ac:dyDescent="0.35">
      <c r="A54">
        <v>27</v>
      </c>
      <c r="B54">
        <v>0.04</v>
      </c>
      <c r="C54">
        <f t="shared" si="0"/>
        <v>3.3333333333333335E-3</v>
      </c>
      <c r="D54">
        <v>1909.66</v>
      </c>
      <c r="E54">
        <v>100</v>
      </c>
      <c r="F54">
        <f t="shared" si="1"/>
        <v>2009.66</v>
      </c>
      <c r="G54" s="10">
        <f t="shared" si="2"/>
        <v>1281.2472479301239</v>
      </c>
      <c r="H54" s="10">
        <f t="shared" si="3"/>
        <v>628.41275206987621</v>
      </c>
      <c r="I54" s="10">
        <f t="shared" si="4"/>
        <v>383745.76162696729</v>
      </c>
      <c r="J54">
        <f t="shared" si="5"/>
        <v>-2009.66</v>
      </c>
    </row>
    <row r="55" spans="1:10" x14ac:dyDescent="0.35">
      <c r="A55">
        <v>28</v>
      </c>
      <c r="B55">
        <v>0.04</v>
      </c>
      <c r="C55">
        <f t="shared" si="0"/>
        <v>3.3333333333333335E-3</v>
      </c>
      <c r="D55">
        <v>1909.66</v>
      </c>
      <c r="E55">
        <v>100</v>
      </c>
      <c r="F55">
        <f t="shared" si="1"/>
        <v>2009.66</v>
      </c>
      <c r="G55" s="10">
        <f t="shared" si="2"/>
        <v>1279.1525387565578</v>
      </c>
      <c r="H55" s="10">
        <f t="shared" si="3"/>
        <v>630.50746124344232</v>
      </c>
      <c r="I55" s="10">
        <f t="shared" si="4"/>
        <v>383115.25416572386</v>
      </c>
      <c r="J55">
        <f t="shared" si="5"/>
        <v>-2009.66</v>
      </c>
    </row>
    <row r="56" spans="1:10" x14ac:dyDescent="0.35">
      <c r="A56">
        <v>29</v>
      </c>
      <c r="B56">
        <v>0.04</v>
      </c>
      <c r="C56">
        <f t="shared" si="0"/>
        <v>3.3333333333333335E-3</v>
      </c>
      <c r="D56">
        <v>1909.66</v>
      </c>
      <c r="E56">
        <v>100</v>
      </c>
      <c r="F56">
        <f t="shared" si="1"/>
        <v>2009.66</v>
      </c>
      <c r="G56" s="10">
        <f t="shared" si="2"/>
        <v>1277.0508472190795</v>
      </c>
      <c r="H56" s="10">
        <f t="shared" si="3"/>
        <v>632.60915278092057</v>
      </c>
      <c r="I56" s="10">
        <f t="shared" si="4"/>
        <v>382482.64501294296</v>
      </c>
      <c r="J56">
        <f t="shared" si="5"/>
        <v>-2009.66</v>
      </c>
    </row>
    <row r="57" spans="1:10" x14ac:dyDescent="0.35">
      <c r="A57">
        <v>30</v>
      </c>
      <c r="B57">
        <v>0.04</v>
      </c>
      <c r="C57">
        <f t="shared" si="0"/>
        <v>3.3333333333333335E-3</v>
      </c>
      <c r="D57">
        <v>1909.66</v>
      </c>
      <c r="E57">
        <v>100</v>
      </c>
      <c r="F57">
        <f t="shared" si="1"/>
        <v>2009.66</v>
      </c>
      <c r="G57" s="10">
        <f t="shared" si="2"/>
        <v>1274.9421500431433</v>
      </c>
      <c r="H57" s="10">
        <f t="shared" si="3"/>
        <v>634.71784995685675</v>
      </c>
      <c r="I57" s="10">
        <f t="shared" si="4"/>
        <v>381847.92716298607</v>
      </c>
      <c r="J57">
        <f t="shared" si="5"/>
        <v>-2009.66</v>
      </c>
    </row>
    <row r="58" spans="1:10" x14ac:dyDescent="0.35">
      <c r="A58">
        <v>31</v>
      </c>
      <c r="B58">
        <v>0.04</v>
      </c>
      <c r="C58">
        <f t="shared" si="0"/>
        <v>3.3333333333333335E-3</v>
      </c>
      <c r="D58">
        <v>1909.66</v>
      </c>
      <c r="E58">
        <v>100</v>
      </c>
      <c r="F58">
        <f t="shared" si="1"/>
        <v>2009.66</v>
      </c>
      <c r="G58" s="10">
        <f t="shared" si="2"/>
        <v>1272.8264238766203</v>
      </c>
      <c r="H58" s="10">
        <f t="shared" si="3"/>
        <v>636.83357612337977</v>
      </c>
      <c r="I58" s="10">
        <f t="shared" si="4"/>
        <v>381211.09358686267</v>
      </c>
      <c r="J58">
        <f t="shared" si="5"/>
        <v>-2009.66</v>
      </c>
    </row>
    <row r="59" spans="1:10" x14ac:dyDescent="0.35">
      <c r="A59">
        <v>32</v>
      </c>
      <c r="B59">
        <v>0.04</v>
      </c>
      <c r="C59">
        <f t="shared" si="0"/>
        <v>3.3333333333333335E-3</v>
      </c>
      <c r="D59">
        <v>1909.66</v>
      </c>
      <c r="E59">
        <v>100</v>
      </c>
      <c r="F59">
        <f t="shared" si="1"/>
        <v>2009.66</v>
      </c>
      <c r="G59" s="10">
        <f t="shared" si="2"/>
        <v>1270.7036452895422</v>
      </c>
      <c r="H59" s="10">
        <f t="shared" si="3"/>
        <v>638.95635471045784</v>
      </c>
      <c r="I59" s="10">
        <f t="shared" si="4"/>
        <v>380572.13723215222</v>
      </c>
      <c r="J59">
        <f t="shared" si="5"/>
        <v>-2009.66</v>
      </c>
    </row>
    <row r="60" spans="1:10" x14ac:dyDescent="0.35">
      <c r="A60">
        <v>33</v>
      </c>
      <c r="B60">
        <v>0.04</v>
      </c>
      <c r="C60">
        <f t="shared" si="0"/>
        <v>3.3333333333333335E-3</v>
      </c>
      <c r="D60">
        <v>1909.66</v>
      </c>
      <c r="E60">
        <v>100</v>
      </c>
      <c r="F60">
        <f t="shared" si="1"/>
        <v>2009.66</v>
      </c>
      <c r="G60" s="10">
        <f t="shared" si="2"/>
        <v>1268.5737907738408</v>
      </c>
      <c r="H60" s="10">
        <f t="shared" si="3"/>
        <v>641.08620922615933</v>
      </c>
      <c r="I60" s="10">
        <f t="shared" si="4"/>
        <v>379931.05102292605</v>
      </c>
      <c r="J60">
        <f t="shared" si="5"/>
        <v>-2009.66</v>
      </c>
    </row>
    <row r="61" spans="1:10" x14ac:dyDescent="0.35">
      <c r="A61">
        <v>34</v>
      </c>
      <c r="B61">
        <v>0.04</v>
      </c>
      <c r="C61">
        <f t="shared" si="0"/>
        <v>3.3333333333333335E-3</v>
      </c>
      <c r="D61">
        <v>1909.66</v>
      </c>
      <c r="E61">
        <v>100</v>
      </c>
      <c r="F61">
        <f t="shared" si="1"/>
        <v>2009.66</v>
      </c>
      <c r="G61" s="10">
        <f t="shared" si="2"/>
        <v>1266.436836743087</v>
      </c>
      <c r="H61" s="10">
        <f t="shared" si="3"/>
        <v>643.22316325691304</v>
      </c>
      <c r="I61" s="10">
        <f t="shared" si="4"/>
        <v>379287.82785966917</v>
      </c>
      <c r="J61">
        <f t="shared" si="5"/>
        <v>-2009.66</v>
      </c>
    </row>
    <row r="62" spans="1:10" x14ac:dyDescent="0.35">
      <c r="A62">
        <v>35</v>
      </c>
      <c r="B62">
        <v>0.04</v>
      </c>
      <c r="C62">
        <f t="shared" si="0"/>
        <v>3.3333333333333335E-3</v>
      </c>
      <c r="D62">
        <v>1909.66</v>
      </c>
      <c r="E62">
        <v>100</v>
      </c>
      <c r="F62">
        <f t="shared" si="1"/>
        <v>2009.66</v>
      </c>
      <c r="G62" s="10">
        <f t="shared" si="2"/>
        <v>1264.2927595322305</v>
      </c>
      <c r="H62" s="10">
        <f t="shared" si="3"/>
        <v>645.36724046776953</v>
      </c>
      <c r="I62" s="10">
        <f t="shared" si="4"/>
        <v>378642.46061920142</v>
      </c>
      <c r="J62">
        <f t="shared" si="5"/>
        <v>-2009.66</v>
      </c>
    </row>
    <row r="63" spans="1:10" x14ac:dyDescent="0.35">
      <c r="A63">
        <v>36</v>
      </c>
      <c r="B63">
        <v>0.04</v>
      </c>
      <c r="C63">
        <f t="shared" si="0"/>
        <v>3.3333333333333335E-3</v>
      </c>
      <c r="D63">
        <v>1909.66</v>
      </c>
      <c r="E63">
        <v>100</v>
      </c>
      <c r="F63">
        <f t="shared" si="1"/>
        <v>2009.66</v>
      </c>
      <c r="G63" s="10">
        <f t="shared" si="2"/>
        <v>1262.1415353973382</v>
      </c>
      <c r="H63" s="10">
        <f t="shared" si="3"/>
        <v>647.51846460266188</v>
      </c>
      <c r="I63" s="10">
        <f t="shared" si="4"/>
        <v>377994.94215459877</v>
      </c>
      <c r="J63">
        <f t="shared" si="5"/>
        <v>-2009.66</v>
      </c>
    </row>
    <row r="64" spans="1:10" x14ac:dyDescent="0.35">
      <c r="A64">
        <v>37</v>
      </c>
      <c r="B64">
        <v>0.04</v>
      </c>
      <c r="C64">
        <f t="shared" si="0"/>
        <v>3.3333333333333335E-3</v>
      </c>
      <c r="D64">
        <v>1909.66</v>
      </c>
      <c r="E64">
        <v>100</v>
      </c>
      <c r="F64">
        <f t="shared" si="1"/>
        <v>2009.66</v>
      </c>
      <c r="G64" s="10">
        <f t="shared" si="2"/>
        <v>1259.9831405153293</v>
      </c>
      <c r="H64" s="10">
        <f t="shared" si="3"/>
        <v>649.67685948467079</v>
      </c>
      <c r="I64" s="10">
        <f t="shared" si="4"/>
        <v>377345.26529511408</v>
      </c>
      <c r="J64">
        <f t="shared" si="5"/>
        <v>-2009.66</v>
      </c>
    </row>
    <row r="65" spans="1:10" x14ac:dyDescent="0.35">
      <c r="A65">
        <v>38</v>
      </c>
      <c r="B65">
        <v>0.04</v>
      </c>
      <c r="C65">
        <f t="shared" si="0"/>
        <v>3.3333333333333335E-3</v>
      </c>
      <c r="D65">
        <v>1909.66</v>
      </c>
      <c r="E65">
        <v>100</v>
      </c>
      <c r="F65">
        <f t="shared" si="1"/>
        <v>2009.66</v>
      </c>
      <c r="G65" s="10">
        <f t="shared" si="2"/>
        <v>1257.8175509837138</v>
      </c>
      <c r="H65" s="10">
        <f t="shared" si="3"/>
        <v>651.84244901628631</v>
      </c>
      <c r="I65" s="10">
        <f t="shared" si="4"/>
        <v>376693.42284609779</v>
      </c>
      <c r="J65">
        <f t="shared" si="5"/>
        <v>-2009.66</v>
      </c>
    </row>
    <row r="66" spans="1:10" x14ac:dyDescent="0.35">
      <c r="A66">
        <v>39</v>
      </c>
      <c r="B66">
        <v>0.04</v>
      </c>
      <c r="C66">
        <f t="shared" si="0"/>
        <v>3.3333333333333335E-3</v>
      </c>
      <c r="D66">
        <v>1909.66</v>
      </c>
      <c r="E66">
        <v>100</v>
      </c>
      <c r="F66">
        <f t="shared" si="1"/>
        <v>2009.66</v>
      </c>
      <c r="G66" s="10">
        <f t="shared" si="2"/>
        <v>1255.644742820326</v>
      </c>
      <c r="H66" s="10">
        <f t="shared" si="3"/>
        <v>654.01525717967411</v>
      </c>
      <c r="I66" s="10">
        <f t="shared" si="4"/>
        <v>376039.40758891811</v>
      </c>
      <c r="J66">
        <f t="shared" si="5"/>
        <v>-2009.66</v>
      </c>
    </row>
    <row r="67" spans="1:10" x14ac:dyDescent="0.35">
      <c r="A67">
        <v>40</v>
      </c>
      <c r="B67">
        <v>0.04</v>
      </c>
      <c r="C67">
        <f t="shared" si="0"/>
        <v>3.3333333333333335E-3</v>
      </c>
      <c r="D67">
        <v>1909.66</v>
      </c>
      <c r="E67">
        <v>100</v>
      </c>
      <c r="F67">
        <f t="shared" si="1"/>
        <v>2009.66</v>
      </c>
      <c r="G67" s="10">
        <f t="shared" si="2"/>
        <v>1253.4646919630604</v>
      </c>
      <c r="H67" s="10">
        <f t="shared" si="3"/>
        <v>656.19530803693965</v>
      </c>
      <c r="I67" s="10">
        <f t="shared" si="4"/>
        <v>375383.21228088118</v>
      </c>
      <c r="J67">
        <f t="shared" si="5"/>
        <v>-2009.66</v>
      </c>
    </row>
    <row r="68" spans="1:10" x14ac:dyDescent="0.35">
      <c r="A68">
        <v>41</v>
      </c>
      <c r="B68">
        <v>0.04</v>
      </c>
      <c r="C68">
        <f t="shared" si="0"/>
        <v>3.3333333333333335E-3</v>
      </c>
      <c r="D68">
        <v>1909.66</v>
      </c>
      <c r="E68">
        <v>100</v>
      </c>
      <c r="F68">
        <f t="shared" si="1"/>
        <v>2009.66</v>
      </c>
      <c r="G68" s="10">
        <f t="shared" si="2"/>
        <v>1251.277374269604</v>
      </c>
      <c r="H68" s="10">
        <f t="shared" si="3"/>
        <v>658.38262573039606</v>
      </c>
      <c r="I68" s="10">
        <f t="shared" si="4"/>
        <v>374724.82965515077</v>
      </c>
      <c r="J68">
        <f t="shared" si="5"/>
        <v>-2009.66</v>
      </c>
    </row>
    <row r="69" spans="1:10" x14ac:dyDescent="0.35">
      <c r="A69">
        <v>42</v>
      </c>
      <c r="B69">
        <v>0.04</v>
      </c>
      <c r="C69">
        <f t="shared" si="0"/>
        <v>3.3333333333333335E-3</v>
      </c>
      <c r="D69">
        <v>1909.66</v>
      </c>
      <c r="E69">
        <v>100</v>
      </c>
      <c r="F69">
        <f t="shared" si="1"/>
        <v>2009.66</v>
      </c>
      <c r="G69" s="10">
        <f t="shared" si="2"/>
        <v>1249.0827655171693</v>
      </c>
      <c r="H69" s="10">
        <f t="shared" si="3"/>
        <v>660.57723448283082</v>
      </c>
      <c r="I69" s="10">
        <f t="shared" si="4"/>
        <v>374064.25242066791</v>
      </c>
      <c r="J69">
        <f t="shared" si="5"/>
        <v>-2009.66</v>
      </c>
    </row>
    <row r="70" spans="1:10" x14ac:dyDescent="0.35">
      <c r="A70">
        <v>43</v>
      </c>
      <c r="B70">
        <v>0.04</v>
      </c>
      <c r="C70">
        <f t="shared" si="0"/>
        <v>3.3333333333333335E-3</v>
      </c>
      <c r="D70">
        <v>1909.66</v>
      </c>
      <c r="E70">
        <v>100</v>
      </c>
      <c r="F70">
        <f t="shared" si="1"/>
        <v>2009.66</v>
      </c>
      <c r="G70" s="10">
        <f t="shared" si="2"/>
        <v>1246.8808414022265</v>
      </c>
      <c r="H70" s="10">
        <f t="shared" si="3"/>
        <v>662.77915859777363</v>
      </c>
      <c r="I70" s="10">
        <f t="shared" si="4"/>
        <v>373401.47326207015</v>
      </c>
      <c r="J70">
        <f t="shared" si="5"/>
        <v>-2009.66</v>
      </c>
    </row>
    <row r="71" spans="1:10" x14ac:dyDescent="0.35">
      <c r="A71">
        <v>44</v>
      </c>
      <c r="B71">
        <v>0.04</v>
      </c>
      <c r="C71">
        <f t="shared" si="0"/>
        <v>3.3333333333333335E-3</v>
      </c>
      <c r="D71">
        <v>1909.66</v>
      </c>
      <c r="E71">
        <v>100</v>
      </c>
      <c r="F71">
        <f t="shared" si="1"/>
        <v>2009.66</v>
      </c>
      <c r="G71" s="10">
        <f t="shared" si="2"/>
        <v>1244.671577540234</v>
      </c>
      <c r="H71" s="10">
        <f t="shared" si="3"/>
        <v>664.98842245976607</v>
      </c>
      <c r="I71" s="10">
        <f t="shared" si="4"/>
        <v>372736.48483961041</v>
      </c>
      <c r="J71">
        <f t="shared" si="5"/>
        <v>-2009.66</v>
      </c>
    </row>
    <row r="72" spans="1:10" x14ac:dyDescent="0.35">
      <c r="A72">
        <v>45</v>
      </c>
      <c r="B72">
        <v>0.04</v>
      </c>
      <c r="C72">
        <f t="shared" si="0"/>
        <v>3.3333333333333335E-3</v>
      </c>
      <c r="D72">
        <v>1909.66</v>
      </c>
      <c r="E72">
        <v>100</v>
      </c>
      <c r="F72">
        <f t="shared" si="1"/>
        <v>2009.66</v>
      </c>
      <c r="G72" s="10">
        <f t="shared" si="2"/>
        <v>1242.4549494653681</v>
      </c>
      <c r="H72" s="10">
        <f t="shared" si="3"/>
        <v>667.20505053463194</v>
      </c>
      <c r="I72" s="10">
        <f t="shared" si="4"/>
        <v>372069.27978907578</v>
      </c>
      <c r="J72">
        <f t="shared" si="5"/>
        <v>-2009.66</v>
      </c>
    </row>
    <row r="73" spans="1:10" x14ac:dyDescent="0.35">
      <c r="A73">
        <v>46</v>
      </c>
      <c r="B73">
        <v>0.04</v>
      </c>
      <c r="C73">
        <f t="shared" si="0"/>
        <v>3.3333333333333335E-3</v>
      </c>
      <c r="D73">
        <v>1909.66</v>
      </c>
      <c r="E73">
        <v>100</v>
      </c>
      <c r="F73">
        <f t="shared" si="1"/>
        <v>2009.66</v>
      </c>
      <c r="G73" s="10">
        <f t="shared" si="2"/>
        <v>1240.2309326302527</v>
      </c>
      <c r="H73" s="10">
        <f t="shared" si="3"/>
        <v>669.42906736974737</v>
      </c>
      <c r="I73" s="10">
        <f t="shared" si="4"/>
        <v>371399.85072170605</v>
      </c>
      <c r="J73">
        <f t="shared" si="5"/>
        <v>-2009.66</v>
      </c>
    </row>
    <row r="74" spans="1:10" x14ac:dyDescent="0.35">
      <c r="A74">
        <v>47</v>
      </c>
      <c r="B74">
        <v>0.04</v>
      </c>
      <c r="C74">
        <f t="shared" si="0"/>
        <v>3.3333333333333335E-3</v>
      </c>
      <c r="D74">
        <v>1909.66</v>
      </c>
      <c r="E74">
        <v>100</v>
      </c>
      <c r="F74">
        <f t="shared" si="1"/>
        <v>2009.66</v>
      </c>
      <c r="G74" s="10">
        <f t="shared" si="2"/>
        <v>1237.9995024056868</v>
      </c>
      <c r="H74" s="10">
        <f t="shared" si="3"/>
        <v>671.66049759431326</v>
      </c>
      <c r="I74" s="10">
        <f t="shared" si="4"/>
        <v>370728.19022411172</v>
      </c>
      <c r="J74">
        <f t="shared" si="5"/>
        <v>-2009.66</v>
      </c>
    </row>
    <row r="75" spans="1:10" x14ac:dyDescent="0.35">
      <c r="A75">
        <v>48</v>
      </c>
      <c r="B75">
        <v>0.04</v>
      </c>
      <c r="C75">
        <f t="shared" si="0"/>
        <v>3.3333333333333335E-3</v>
      </c>
      <c r="D75">
        <v>1909.66</v>
      </c>
      <c r="E75">
        <v>100</v>
      </c>
      <c r="F75">
        <f t="shared" si="1"/>
        <v>2009.66</v>
      </c>
      <c r="G75" s="10">
        <f t="shared" si="2"/>
        <v>1235.7606340803725</v>
      </c>
      <c r="H75" s="10">
        <f t="shared" si="3"/>
        <v>673.8993659196276</v>
      </c>
      <c r="I75" s="10">
        <f t="shared" si="4"/>
        <v>370054.29085819208</v>
      </c>
      <c r="J75">
        <f t="shared" si="5"/>
        <v>-2009.66</v>
      </c>
    </row>
    <row r="76" spans="1:10" x14ac:dyDescent="0.35">
      <c r="A76">
        <v>49</v>
      </c>
      <c r="B76">
        <v>0.04</v>
      </c>
      <c r="C76">
        <f t="shared" si="0"/>
        <v>3.3333333333333335E-3</v>
      </c>
      <c r="D76">
        <v>1909.66</v>
      </c>
      <c r="E76">
        <v>100</v>
      </c>
      <c r="F76">
        <f t="shared" si="1"/>
        <v>2009.66</v>
      </c>
      <c r="G76" s="10">
        <f t="shared" si="2"/>
        <v>1233.5143028606403</v>
      </c>
      <c r="H76" s="10">
        <f t="shared" si="3"/>
        <v>676.14569713935975</v>
      </c>
      <c r="I76" s="10">
        <f t="shared" si="4"/>
        <v>369378.1451610527</v>
      </c>
      <c r="J76">
        <f t="shared" si="5"/>
        <v>-2009.66</v>
      </c>
    </row>
    <row r="77" spans="1:10" x14ac:dyDescent="0.35">
      <c r="A77">
        <v>50</v>
      </c>
      <c r="B77">
        <v>0.04</v>
      </c>
      <c r="C77">
        <f t="shared" si="0"/>
        <v>3.3333333333333335E-3</v>
      </c>
      <c r="D77">
        <v>1909.66</v>
      </c>
      <c r="E77">
        <v>100</v>
      </c>
      <c r="F77">
        <f t="shared" si="1"/>
        <v>2009.66</v>
      </c>
      <c r="G77" s="10">
        <f t="shared" si="2"/>
        <v>1231.2604838701757</v>
      </c>
      <c r="H77" s="10">
        <f t="shared" si="3"/>
        <v>678.39951612982441</v>
      </c>
      <c r="I77" s="10">
        <f t="shared" si="4"/>
        <v>368699.74564492289</v>
      </c>
      <c r="J77">
        <f t="shared" si="5"/>
        <v>-2009.66</v>
      </c>
    </row>
    <row r="78" spans="1:10" x14ac:dyDescent="0.35">
      <c r="A78">
        <v>51</v>
      </c>
      <c r="B78">
        <v>0.04</v>
      </c>
      <c r="C78">
        <f t="shared" si="0"/>
        <v>3.3333333333333335E-3</v>
      </c>
      <c r="D78">
        <v>1909.66</v>
      </c>
      <c r="E78">
        <v>100</v>
      </c>
      <c r="F78">
        <f t="shared" si="1"/>
        <v>2009.66</v>
      </c>
      <c r="G78" s="10">
        <f t="shared" si="2"/>
        <v>1228.9991521497429</v>
      </c>
      <c r="H78" s="10">
        <f t="shared" si="3"/>
        <v>680.66084785025714</v>
      </c>
      <c r="I78" s="10">
        <f t="shared" si="4"/>
        <v>368019.08479707263</v>
      </c>
      <c r="J78">
        <f t="shared" si="5"/>
        <v>-2009.66</v>
      </c>
    </row>
    <row r="79" spans="1:10" x14ac:dyDescent="0.35">
      <c r="A79">
        <v>52</v>
      </c>
      <c r="B79">
        <v>0.04</v>
      </c>
      <c r="C79">
        <f t="shared" si="0"/>
        <v>3.3333333333333335E-3</v>
      </c>
      <c r="D79">
        <v>1909.66</v>
      </c>
      <c r="E79">
        <v>100</v>
      </c>
      <c r="F79">
        <f t="shared" si="1"/>
        <v>2009.66</v>
      </c>
      <c r="G79" s="10">
        <f t="shared" si="2"/>
        <v>1226.7302826569089</v>
      </c>
      <c r="H79" s="10">
        <f t="shared" si="3"/>
        <v>682.92971734309117</v>
      </c>
      <c r="I79" s="10">
        <f t="shared" si="4"/>
        <v>367336.15507972956</v>
      </c>
      <c r="J79">
        <f t="shared" si="5"/>
        <v>-2009.66</v>
      </c>
    </row>
    <row r="80" spans="1:10" x14ac:dyDescent="0.35">
      <c r="A80">
        <v>53</v>
      </c>
      <c r="B80">
        <v>0.04</v>
      </c>
      <c r="C80">
        <f t="shared" si="0"/>
        <v>3.3333333333333335E-3</v>
      </c>
      <c r="D80">
        <v>1909.66</v>
      </c>
      <c r="E80">
        <v>100</v>
      </c>
      <c r="F80">
        <f t="shared" si="1"/>
        <v>2009.66</v>
      </c>
      <c r="G80" s="10">
        <f t="shared" si="2"/>
        <v>1224.4538502657654</v>
      </c>
      <c r="H80" s="10">
        <f t="shared" si="3"/>
        <v>685.20614973423471</v>
      </c>
      <c r="I80" s="10">
        <f t="shared" si="4"/>
        <v>366650.94892999536</v>
      </c>
      <c r="J80">
        <f t="shared" si="5"/>
        <v>-2009.66</v>
      </c>
    </row>
    <row r="81" spans="1:13" x14ac:dyDescent="0.35">
      <c r="A81">
        <v>54</v>
      </c>
      <c r="B81">
        <v>0.04</v>
      </c>
      <c r="C81">
        <f t="shared" si="0"/>
        <v>3.3333333333333335E-3</v>
      </c>
      <c r="D81">
        <v>1909.66</v>
      </c>
      <c r="E81">
        <v>100</v>
      </c>
      <c r="F81">
        <f t="shared" si="1"/>
        <v>2009.66</v>
      </c>
      <c r="G81" s="10">
        <f t="shared" si="2"/>
        <v>1222.1698297666512</v>
      </c>
      <c r="H81" s="10">
        <f t="shared" si="3"/>
        <v>687.49017023334886</v>
      </c>
      <c r="I81" s="10">
        <f t="shared" si="4"/>
        <v>365963.458759762</v>
      </c>
      <c r="J81">
        <f t="shared" si="5"/>
        <v>-2009.66</v>
      </c>
    </row>
    <row r="82" spans="1:13" x14ac:dyDescent="0.35">
      <c r="A82">
        <v>55</v>
      </c>
      <c r="B82">
        <v>0.04</v>
      </c>
      <c r="C82">
        <f t="shared" si="0"/>
        <v>3.3333333333333335E-3</v>
      </c>
      <c r="D82">
        <v>1909.66</v>
      </c>
      <c r="E82">
        <v>100</v>
      </c>
      <c r="F82">
        <f t="shared" si="1"/>
        <v>2009.66</v>
      </c>
      <c r="G82" s="10">
        <f t="shared" si="2"/>
        <v>1219.8781958658733</v>
      </c>
      <c r="H82" s="10">
        <f t="shared" si="3"/>
        <v>689.78180413412679</v>
      </c>
      <c r="I82" s="10">
        <f t="shared" si="4"/>
        <v>365273.67695562786</v>
      </c>
      <c r="J82">
        <f t="shared" si="5"/>
        <v>-2009.66</v>
      </c>
    </row>
    <row r="83" spans="1:13" x14ac:dyDescent="0.35">
      <c r="A83">
        <v>56</v>
      </c>
      <c r="B83">
        <v>0.04</v>
      </c>
      <c r="C83">
        <f t="shared" si="0"/>
        <v>3.3333333333333335E-3</v>
      </c>
      <c r="D83">
        <v>1909.66</v>
      </c>
      <c r="E83">
        <v>100</v>
      </c>
      <c r="F83">
        <f t="shared" si="1"/>
        <v>2009.66</v>
      </c>
      <c r="G83" s="10">
        <f t="shared" si="2"/>
        <v>1217.5789231854262</v>
      </c>
      <c r="H83" s="10">
        <f t="shared" si="3"/>
        <v>692.08107681457386</v>
      </c>
      <c r="I83" s="10">
        <f t="shared" si="4"/>
        <v>364581.5958788133</v>
      </c>
      <c r="J83">
        <f t="shared" si="5"/>
        <v>-2009.66</v>
      </c>
    </row>
    <row r="84" spans="1:13" x14ac:dyDescent="0.35">
      <c r="A84">
        <v>57</v>
      </c>
      <c r="B84">
        <v>0.04</v>
      </c>
      <c r="C84">
        <f t="shared" si="0"/>
        <v>3.3333333333333335E-3</v>
      </c>
      <c r="D84">
        <v>1909.66</v>
      </c>
      <c r="E84">
        <v>100</v>
      </c>
      <c r="F84">
        <f t="shared" si="1"/>
        <v>2009.66</v>
      </c>
      <c r="G84" s="10">
        <f t="shared" si="2"/>
        <v>1215.2719862627112</v>
      </c>
      <c r="H84" s="10">
        <f t="shared" si="3"/>
        <v>694.38801373728893</v>
      </c>
      <c r="I84" s="10">
        <f t="shared" si="4"/>
        <v>363887.20786507602</v>
      </c>
      <c r="J84">
        <f t="shared" si="5"/>
        <v>-2009.66</v>
      </c>
    </row>
    <row r="85" spans="1:13" x14ac:dyDescent="0.35">
      <c r="A85">
        <v>58</v>
      </c>
      <c r="B85">
        <v>0.04</v>
      </c>
      <c r="C85">
        <f t="shared" si="0"/>
        <v>3.3333333333333335E-3</v>
      </c>
      <c r="D85">
        <v>1909.66</v>
      </c>
      <c r="E85">
        <v>100</v>
      </c>
      <c r="F85">
        <f t="shared" si="1"/>
        <v>2009.66</v>
      </c>
      <c r="G85" s="10">
        <f t="shared" si="2"/>
        <v>1212.9573595502534</v>
      </c>
      <c r="H85" s="10">
        <f t="shared" si="3"/>
        <v>696.7026404497467</v>
      </c>
      <c r="I85" s="10">
        <f t="shared" si="4"/>
        <v>363190.50522462628</v>
      </c>
      <c r="J85">
        <f t="shared" si="5"/>
        <v>-2009.66</v>
      </c>
    </row>
    <row r="86" spans="1:13" x14ac:dyDescent="0.35">
      <c r="A86">
        <v>59</v>
      </c>
      <c r="B86">
        <v>0.04</v>
      </c>
      <c r="C86">
        <f t="shared" si="0"/>
        <v>3.3333333333333335E-3</v>
      </c>
      <c r="D86">
        <v>1909.66</v>
      </c>
      <c r="E86">
        <v>100</v>
      </c>
      <c r="F86">
        <f t="shared" si="1"/>
        <v>2009.66</v>
      </c>
      <c r="G86" s="10">
        <f t="shared" si="2"/>
        <v>1210.6350174154211</v>
      </c>
      <c r="H86" s="10">
        <f t="shared" si="3"/>
        <v>699.02498258457899</v>
      </c>
      <c r="I86" s="10">
        <f t="shared" si="4"/>
        <v>362491.4802420417</v>
      </c>
      <c r="J86">
        <f t="shared" si="5"/>
        <v>-2009.66</v>
      </c>
    </row>
    <row r="87" spans="1:13" x14ac:dyDescent="0.35">
      <c r="A87">
        <v>60</v>
      </c>
      <c r="B87">
        <v>0.04</v>
      </c>
      <c r="C87">
        <f t="shared" si="0"/>
        <v>3.3333333333333335E-3</v>
      </c>
      <c r="D87">
        <v>1909.66</v>
      </c>
      <c r="E87">
        <v>100</v>
      </c>
      <c r="F87">
        <f t="shared" si="1"/>
        <v>2009.66</v>
      </c>
      <c r="G87" s="10">
        <f t="shared" si="2"/>
        <v>1208.304934140139</v>
      </c>
      <c r="H87" s="10">
        <f t="shared" si="3"/>
        <v>701.35506585986104</v>
      </c>
      <c r="I87" s="10">
        <f t="shared" si="4"/>
        <v>361790.12517618184</v>
      </c>
      <c r="J87">
        <f t="shared" si="5"/>
        <v>-2009.66</v>
      </c>
    </row>
    <row r="88" spans="1:13" x14ac:dyDescent="0.35">
      <c r="A88">
        <v>61</v>
      </c>
      <c r="B88">
        <v>0.06</v>
      </c>
      <c r="C88">
        <f>B88/12</f>
        <v>5.0000000000000001E-3</v>
      </c>
      <c r="D88">
        <v>2327.66</v>
      </c>
      <c r="E88">
        <v>100</v>
      </c>
      <c r="F88">
        <f>D88+E88</f>
        <v>2427.66</v>
      </c>
      <c r="G88" s="10">
        <f>C88*I87</f>
        <v>1808.9506258809092</v>
      </c>
      <c r="H88" s="10">
        <f>D88-G88</f>
        <v>518.70937411909063</v>
      </c>
      <c r="I88" s="10">
        <f>I87-H88</f>
        <v>361271.41580206278</v>
      </c>
      <c r="J88">
        <f>-F88</f>
        <v>-2427.66</v>
      </c>
    </row>
    <row r="89" spans="1:13" x14ac:dyDescent="0.35">
      <c r="A89">
        <v>62</v>
      </c>
      <c r="B89">
        <v>0.06</v>
      </c>
      <c r="C89">
        <f>B89/12</f>
        <v>5.0000000000000001E-3</v>
      </c>
      <c r="D89">
        <v>2327.66</v>
      </c>
      <c r="E89">
        <v>100</v>
      </c>
      <c r="F89">
        <f>D89+E89</f>
        <v>2427.66</v>
      </c>
      <c r="G89" s="10">
        <f>C89*I88</f>
        <v>1806.357079010314</v>
      </c>
      <c r="H89" s="10">
        <f>D89-G89</f>
        <v>521.30292098968584</v>
      </c>
      <c r="I89" s="10">
        <f>I88-H89</f>
        <v>360750.11288107309</v>
      </c>
      <c r="J89">
        <f>-F89</f>
        <v>-2427.66</v>
      </c>
      <c r="M89" s="12">
        <f>-PMT(C94,294,I93)</f>
        <v>2727.1094332622447</v>
      </c>
    </row>
    <row r="90" spans="1:13" x14ac:dyDescent="0.35">
      <c r="A90">
        <v>63</v>
      </c>
      <c r="B90">
        <v>0.06</v>
      </c>
      <c r="C90">
        <f t="shared" ref="C90:C93" si="6">B90/12</f>
        <v>5.0000000000000001E-3</v>
      </c>
      <c r="D90">
        <v>2327.66</v>
      </c>
      <c r="E90">
        <v>100</v>
      </c>
      <c r="F90">
        <f t="shared" ref="F90:F93" si="7">D90+E90</f>
        <v>2427.66</v>
      </c>
      <c r="G90" s="10">
        <f t="shared" ref="G90:G93" si="8">C90*I89</f>
        <v>1803.7505644053654</v>
      </c>
      <c r="H90" s="10">
        <f t="shared" ref="H90:H93" si="9">D90-G90</f>
        <v>523.90943559463449</v>
      </c>
      <c r="I90" s="10">
        <f t="shared" ref="I90:I93" si="10">I89-H90</f>
        <v>360226.20344547846</v>
      </c>
      <c r="J90">
        <f t="shared" ref="J90:J93" si="11">-F90</f>
        <v>-2427.66</v>
      </c>
    </row>
    <row r="91" spans="1:13" x14ac:dyDescent="0.35">
      <c r="A91">
        <v>64</v>
      </c>
      <c r="B91">
        <v>0.06</v>
      </c>
      <c r="C91">
        <f t="shared" si="6"/>
        <v>5.0000000000000001E-3</v>
      </c>
      <c r="D91">
        <v>2327.66</v>
      </c>
      <c r="E91">
        <v>100</v>
      </c>
      <c r="F91">
        <f t="shared" si="7"/>
        <v>2427.66</v>
      </c>
      <c r="G91" s="10">
        <f t="shared" si="8"/>
        <v>1801.1310172273922</v>
      </c>
      <c r="H91" s="10">
        <f t="shared" si="9"/>
        <v>526.52898277260761</v>
      </c>
      <c r="I91" s="10">
        <f t="shared" si="10"/>
        <v>359699.67446270585</v>
      </c>
      <c r="J91">
        <f t="shared" si="11"/>
        <v>-2427.66</v>
      </c>
    </row>
    <row r="92" spans="1:13" x14ac:dyDescent="0.35">
      <c r="A92">
        <v>65</v>
      </c>
      <c r="B92">
        <v>0.06</v>
      </c>
      <c r="C92">
        <f t="shared" si="6"/>
        <v>5.0000000000000001E-3</v>
      </c>
      <c r="D92">
        <v>2327.66</v>
      </c>
      <c r="E92">
        <v>100</v>
      </c>
      <c r="F92">
        <f t="shared" si="7"/>
        <v>2427.66</v>
      </c>
      <c r="G92" s="10">
        <f t="shared" si="8"/>
        <v>1798.4983723135292</v>
      </c>
      <c r="H92" s="10">
        <f t="shared" si="9"/>
        <v>529.16162768647064</v>
      </c>
      <c r="I92" s="10">
        <f t="shared" si="10"/>
        <v>359170.51283501938</v>
      </c>
      <c r="J92">
        <f t="shared" si="11"/>
        <v>-2427.66</v>
      </c>
    </row>
    <row r="93" spans="1:13" x14ac:dyDescent="0.35">
      <c r="A93">
        <v>66</v>
      </c>
      <c r="B93">
        <v>0.06</v>
      </c>
      <c r="C93">
        <f t="shared" si="6"/>
        <v>5.0000000000000001E-3</v>
      </c>
      <c r="D93">
        <v>2327.66</v>
      </c>
      <c r="E93">
        <v>0</v>
      </c>
      <c r="F93">
        <f t="shared" si="7"/>
        <v>2327.66</v>
      </c>
      <c r="G93" s="10">
        <f t="shared" si="8"/>
        <v>1795.8525641750969</v>
      </c>
      <c r="H93" s="10">
        <f t="shared" si="9"/>
        <v>531.807435824903</v>
      </c>
      <c r="I93" s="11">
        <f t="shared" si="10"/>
        <v>358638.7053991945</v>
      </c>
      <c r="J93">
        <f t="shared" si="11"/>
        <v>-2327.66</v>
      </c>
    </row>
    <row r="94" spans="1:13" x14ac:dyDescent="0.35">
      <c r="A94">
        <v>67</v>
      </c>
      <c r="B94">
        <v>7.7499999999999999E-2</v>
      </c>
      <c r="C94">
        <f>B94/12</f>
        <v>6.4583333333333333E-3</v>
      </c>
      <c r="D94">
        <v>2727.1094332622401</v>
      </c>
      <c r="E94">
        <v>0</v>
      </c>
      <c r="F94">
        <f>D94+E94</f>
        <v>2727.1094332622401</v>
      </c>
      <c r="G94" s="10">
        <f>C94*I93</f>
        <v>2316.2083057031309</v>
      </c>
      <c r="H94" s="10">
        <f>D94-G94</f>
        <v>410.90112755910923</v>
      </c>
      <c r="I94" s="10">
        <f>I93-H94</f>
        <v>358227.80427163537</v>
      </c>
      <c r="J94">
        <f>-F94</f>
        <v>-2727.1094332622401</v>
      </c>
    </row>
    <row r="95" spans="1:13" x14ac:dyDescent="0.35">
      <c r="A95">
        <v>68</v>
      </c>
      <c r="B95">
        <v>7.7499999999999999E-2</v>
      </c>
      <c r="C95">
        <f>B95/12</f>
        <v>6.4583333333333333E-3</v>
      </c>
      <c r="D95">
        <v>2727.1094332622401</v>
      </c>
      <c r="E95">
        <v>0</v>
      </c>
      <c r="F95">
        <f>D95+E95</f>
        <v>2727.1094332622401</v>
      </c>
      <c r="G95" s="10">
        <f>C95*I94</f>
        <v>2313.5545692543119</v>
      </c>
      <c r="H95" s="10">
        <f>D95-G95</f>
        <v>413.55486400792824</v>
      </c>
      <c r="I95" s="10">
        <f>I94-H95</f>
        <v>357814.24940762745</v>
      </c>
      <c r="J95">
        <f>-F95</f>
        <v>-2727.1094332622401</v>
      </c>
    </row>
    <row r="96" spans="1:13" x14ac:dyDescent="0.35">
      <c r="A96">
        <v>69</v>
      </c>
      <c r="B96">
        <v>7.7499999999999999E-2</v>
      </c>
      <c r="C96">
        <f t="shared" ref="C96:C159" si="12">B96/12</f>
        <v>6.4583333333333333E-3</v>
      </c>
      <c r="D96">
        <v>2727.1094332622401</v>
      </c>
      <c r="E96">
        <v>0</v>
      </c>
      <c r="F96">
        <f t="shared" ref="F96:F159" si="13">D96+E96</f>
        <v>2727.1094332622401</v>
      </c>
      <c r="G96" s="10">
        <f t="shared" ref="G96:G159" si="14">C96*I95</f>
        <v>2310.8836940909273</v>
      </c>
      <c r="H96" s="10">
        <f t="shared" ref="H96:H159" si="15">D96-G96</f>
        <v>416.22573917131285</v>
      </c>
      <c r="I96" s="10">
        <f t="shared" ref="I96:I159" si="16">I95-H96</f>
        <v>357398.02366845612</v>
      </c>
      <c r="J96">
        <f t="shared" ref="J96:J159" si="17">-F96</f>
        <v>-2727.1094332622401</v>
      </c>
    </row>
    <row r="97" spans="1:10" x14ac:dyDescent="0.35">
      <c r="A97">
        <v>70</v>
      </c>
      <c r="B97">
        <v>7.7499999999999999E-2</v>
      </c>
      <c r="C97">
        <f t="shared" si="12"/>
        <v>6.4583333333333333E-3</v>
      </c>
      <c r="D97">
        <v>2727.1094332622401</v>
      </c>
      <c r="E97">
        <v>0</v>
      </c>
      <c r="F97">
        <f t="shared" si="13"/>
        <v>2727.1094332622401</v>
      </c>
      <c r="G97" s="10">
        <f t="shared" si="14"/>
        <v>2308.195569525446</v>
      </c>
      <c r="H97" s="10">
        <f t="shared" si="15"/>
        <v>418.91386373679416</v>
      </c>
      <c r="I97" s="10">
        <f t="shared" si="16"/>
        <v>356979.10980471934</v>
      </c>
      <c r="J97">
        <f t="shared" si="17"/>
        <v>-2727.1094332622401</v>
      </c>
    </row>
    <row r="98" spans="1:10" x14ac:dyDescent="0.35">
      <c r="A98">
        <v>71</v>
      </c>
      <c r="B98">
        <v>7.7499999999999999E-2</v>
      </c>
      <c r="C98">
        <f t="shared" si="12"/>
        <v>6.4583333333333333E-3</v>
      </c>
      <c r="D98">
        <v>2727.1094332622401</v>
      </c>
      <c r="E98">
        <v>0</v>
      </c>
      <c r="F98">
        <f t="shared" si="13"/>
        <v>2727.1094332622401</v>
      </c>
      <c r="G98" s="10">
        <f t="shared" si="14"/>
        <v>2305.4900841554791</v>
      </c>
      <c r="H98" s="10">
        <f t="shared" si="15"/>
        <v>421.61934910676109</v>
      </c>
      <c r="I98" s="10">
        <f t="shared" si="16"/>
        <v>356557.4904556126</v>
      </c>
      <c r="J98">
        <f t="shared" si="17"/>
        <v>-2727.1094332622401</v>
      </c>
    </row>
    <row r="99" spans="1:10" x14ac:dyDescent="0.35">
      <c r="A99">
        <v>72</v>
      </c>
      <c r="B99">
        <v>7.7499999999999999E-2</v>
      </c>
      <c r="C99">
        <f t="shared" si="12"/>
        <v>6.4583333333333333E-3</v>
      </c>
      <c r="D99">
        <v>2727.1094332622401</v>
      </c>
      <c r="E99">
        <v>0</v>
      </c>
      <c r="F99">
        <f t="shared" si="13"/>
        <v>2727.1094332622401</v>
      </c>
      <c r="G99" s="10">
        <f t="shared" si="14"/>
        <v>2302.7671258591645</v>
      </c>
      <c r="H99" s="10">
        <f t="shared" si="15"/>
        <v>424.34230740307567</v>
      </c>
      <c r="I99" s="10">
        <f t="shared" si="16"/>
        <v>356133.1481482095</v>
      </c>
      <c r="J99">
        <f t="shared" si="17"/>
        <v>-2727.1094332622401</v>
      </c>
    </row>
    <row r="100" spans="1:10" x14ac:dyDescent="0.35">
      <c r="A100">
        <v>73</v>
      </c>
      <c r="B100">
        <v>7.7499999999999999E-2</v>
      </c>
      <c r="C100">
        <f t="shared" si="12"/>
        <v>6.4583333333333333E-3</v>
      </c>
      <c r="D100">
        <v>2727.1094332622401</v>
      </c>
      <c r="E100">
        <v>0</v>
      </c>
      <c r="F100">
        <f t="shared" si="13"/>
        <v>2727.1094332622401</v>
      </c>
      <c r="G100" s="10">
        <f t="shared" si="14"/>
        <v>2300.0265817905197</v>
      </c>
      <c r="H100" s="10">
        <f t="shared" si="15"/>
        <v>427.08285147172046</v>
      </c>
      <c r="I100" s="10">
        <f t="shared" si="16"/>
        <v>355706.06529673777</v>
      </c>
      <c r="J100">
        <f t="shared" si="17"/>
        <v>-2727.1094332622401</v>
      </c>
    </row>
    <row r="101" spans="1:10" x14ac:dyDescent="0.35">
      <c r="A101">
        <v>74</v>
      </c>
      <c r="B101">
        <v>7.7499999999999999E-2</v>
      </c>
      <c r="C101">
        <f t="shared" si="12"/>
        <v>6.4583333333333333E-3</v>
      </c>
      <c r="D101">
        <v>2727.1094332622401</v>
      </c>
      <c r="E101">
        <v>0</v>
      </c>
      <c r="F101">
        <f t="shared" si="13"/>
        <v>2727.1094332622401</v>
      </c>
      <c r="G101" s="10">
        <f t="shared" si="14"/>
        <v>2297.2683383747649</v>
      </c>
      <c r="H101" s="10">
        <f t="shared" si="15"/>
        <v>429.84109488747526</v>
      </c>
      <c r="I101" s="10">
        <f t="shared" si="16"/>
        <v>355276.2242018503</v>
      </c>
      <c r="J101">
        <f t="shared" si="17"/>
        <v>-2727.1094332622401</v>
      </c>
    </row>
    <row r="102" spans="1:10" x14ac:dyDescent="0.35">
      <c r="A102">
        <v>75</v>
      </c>
      <c r="B102">
        <v>7.7499999999999999E-2</v>
      </c>
      <c r="C102">
        <f t="shared" si="12"/>
        <v>6.4583333333333333E-3</v>
      </c>
      <c r="D102">
        <v>2727.1094332622401</v>
      </c>
      <c r="E102">
        <v>0</v>
      </c>
      <c r="F102">
        <f t="shared" si="13"/>
        <v>2727.1094332622401</v>
      </c>
      <c r="G102" s="10">
        <f t="shared" si="14"/>
        <v>2294.4922813036164</v>
      </c>
      <c r="H102" s="10">
        <f t="shared" si="15"/>
        <v>432.61715195862371</v>
      </c>
      <c r="I102" s="10">
        <f t="shared" si="16"/>
        <v>354843.60704989167</v>
      </c>
      <c r="J102">
        <f t="shared" si="17"/>
        <v>-2727.1094332622401</v>
      </c>
    </row>
    <row r="103" spans="1:10" x14ac:dyDescent="0.35">
      <c r="A103">
        <v>76</v>
      </c>
      <c r="B103">
        <v>7.7499999999999999E-2</v>
      </c>
      <c r="C103">
        <f t="shared" si="12"/>
        <v>6.4583333333333333E-3</v>
      </c>
      <c r="D103">
        <v>2727.1094332622401</v>
      </c>
      <c r="E103">
        <v>0</v>
      </c>
      <c r="F103">
        <f t="shared" si="13"/>
        <v>2727.1094332622401</v>
      </c>
      <c r="G103" s="10">
        <f t="shared" si="14"/>
        <v>2291.6982955305502</v>
      </c>
      <c r="H103" s="10">
        <f t="shared" si="15"/>
        <v>435.41113773168991</v>
      </c>
      <c r="I103" s="10">
        <f t="shared" si="16"/>
        <v>354408.19591215998</v>
      </c>
      <c r="J103">
        <f t="shared" si="17"/>
        <v>-2727.1094332622401</v>
      </c>
    </row>
    <row r="104" spans="1:10" x14ac:dyDescent="0.35">
      <c r="A104">
        <v>77</v>
      </c>
      <c r="B104">
        <v>7.7499999999999999E-2</v>
      </c>
      <c r="C104">
        <f t="shared" si="12"/>
        <v>6.4583333333333333E-3</v>
      </c>
      <c r="D104">
        <v>2727.1094332622401</v>
      </c>
      <c r="E104">
        <v>0</v>
      </c>
      <c r="F104">
        <f t="shared" si="13"/>
        <v>2727.1094332622401</v>
      </c>
      <c r="G104" s="10">
        <f t="shared" si="14"/>
        <v>2288.8862652660332</v>
      </c>
      <c r="H104" s="10">
        <f t="shared" si="15"/>
        <v>438.22316799620694</v>
      </c>
      <c r="I104" s="10">
        <f t="shared" si="16"/>
        <v>353969.97274416377</v>
      </c>
      <c r="J104">
        <f t="shared" si="17"/>
        <v>-2727.1094332622401</v>
      </c>
    </row>
    <row r="105" spans="1:10" x14ac:dyDescent="0.35">
      <c r="A105">
        <v>78</v>
      </c>
      <c r="B105">
        <v>7.7499999999999999E-2</v>
      </c>
      <c r="C105">
        <f t="shared" si="12"/>
        <v>6.4583333333333333E-3</v>
      </c>
      <c r="D105">
        <v>2727.1094332622401</v>
      </c>
      <c r="E105">
        <v>0</v>
      </c>
      <c r="F105">
        <f t="shared" si="13"/>
        <v>2727.1094332622401</v>
      </c>
      <c r="G105" s="10">
        <f t="shared" si="14"/>
        <v>2286.0560739727243</v>
      </c>
      <c r="H105" s="10">
        <f t="shared" si="15"/>
        <v>441.05335928951581</v>
      </c>
      <c r="I105" s="10">
        <f t="shared" si="16"/>
        <v>353528.91938487423</v>
      </c>
      <c r="J105">
        <f t="shared" si="17"/>
        <v>-2727.1094332622401</v>
      </c>
    </row>
    <row r="106" spans="1:10" x14ac:dyDescent="0.35">
      <c r="A106">
        <v>79</v>
      </c>
      <c r="B106">
        <v>7.7499999999999999E-2</v>
      </c>
      <c r="C106">
        <f t="shared" si="12"/>
        <v>6.4583333333333333E-3</v>
      </c>
      <c r="D106">
        <v>2727.1094332622401</v>
      </c>
      <c r="E106">
        <v>0</v>
      </c>
      <c r="F106">
        <f t="shared" si="13"/>
        <v>2727.1094332622401</v>
      </c>
      <c r="G106" s="10">
        <f t="shared" si="14"/>
        <v>2283.2076043606462</v>
      </c>
      <c r="H106" s="10">
        <f t="shared" si="15"/>
        <v>443.90182890159394</v>
      </c>
      <c r="I106" s="10">
        <f t="shared" si="16"/>
        <v>353085.01755597262</v>
      </c>
      <c r="J106">
        <f t="shared" si="17"/>
        <v>-2727.1094332622401</v>
      </c>
    </row>
    <row r="107" spans="1:10" x14ac:dyDescent="0.35">
      <c r="A107">
        <v>80</v>
      </c>
      <c r="B107">
        <v>7.7499999999999999E-2</v>
      </c>
      <c r="C107">
        <f t="shared" si="12"/>
        <v>6.4583333333333333E-3</v>
      </c>
      <c r="D107">
        <v>2727.1094332622401</v>
      </c>
      <c r="E107">
        <v>0</v>
      </c>
      <c r="F107">
        <f t="shared" si="13"/>
        <v>2727.1094332622401</v>
      </c>
      <c r="G107" s="10">
        <f t="shared" si="14"/>
        <v>2280.3407383823233</v>
      </c>
      <c r="H107" s="10">
        <f t="shared" si="15"/>
        <v>446.76869487991689</v>
      </c>
      <c r="I107" s="10">
        <f t="shared" si="16"/>
        <v>352638.24886109272</v>
      </c>
      <c r="J107">
        <f t="shared" si="17"/>
        <v>-2727.1094332622401</v>
      </c>
    </row>
    <row r="108" spans="1:10" x14ac:dyDescent="0.35">
      <c r="A108">
        <v>81</v>
      </c>
      <c r="B108">
        <v>7.7499999999999999E-2</v>
      </c>
      <c r="C108">
        <f t="shared" si="12"/>
        <v>6.4583333333333333E-3</v>
      </c>
      <c r="D108">
        <v>2727.1094332622401</v>
      </c>
      <c r="E108">
        <v>0</v>
      </c>
      <c r="F108">
        <f t="shared" si="13"/>
        <v>2727.1094332622401</v>
      </c>
      <c r="G108" s="10">
        <f t="shared" si="14"/>
        <v>2277.4553572278905</v>
      </c>
      <c r="H108" s="10">
        <f t="shared" si="15"/>
        <v>449.6540760343496</v>
      </c>
      <c r="I108" s="10">
        <f t="shared" si="16"/>
        <v>352188.59478505835</v>
      </c>
      <c r="J108">
        <f t="shared" si="17"/>
        <v>-2727.1094332622401</v>
      </c>
    </row>
    <row r="109" spans="1:10" x14ac:dyDescent="0.35">
      <c r="A109">
        <v>82</v>
      </c>
      <c r="B109">
        <v>7.7499999999999999E-2</v>
      </c>
      <c r="C109">
        <f t="shared" si="12"/>
        <v>6.4583333333333333E-3</v>
      </c>
      <c r="D109">
        <v>2727.1094332622401</v>
      </c>
      <c r="E109">
        <v>0</v>
      </c>
      <c r="F109">
        <f t="shared" si="13"/>
        <v>2727.1094332622401</v>
      </c>
      <c r="G109" s="10">
        <f t="shared" si="14"/>
        <v>2274.5513413201684</v>
      </c>
      <c r="H109" s="10">
        <f t="shared" si="15"/>
        <v>452.55809194207177</v>
      </c>
      <c r="I109" s="10">
        <f t="shared" si="16"/>
        <v>351736.0366931163</v>
      </c>
      <c r="J109">
        <f t="shared" si="17"/>
        <v>-2727.1094332622401</v>
      </c>
    </row>
    <row r="110" spans="1:10" x14ac:dyDescent="0.35">
      <c r="A110">
        <v>83</v>
      </c>
      <c r="B110">
        <v>7.7499999999999999E-2</v>
      </c>
      <c r="C110">
        <f t="shared" si="12"/>
        <v>6.4583333333333333E-3</v>
      </c>
      <c r="D110">
        <v>2727.1094332622401</v>
      </c>
      <c r="E110">
        <v>0</v>
      </c>
      <c r="F110">
        <f t="shared" si="13"/>
        <v>2727.1094332622401</v>
      </c>
      <c r="G110" s="10">
        <f t="shared" si="14"/>
        <v>2271.6285703097096</v>
      </c>
      <c r="H110" s="10">
        <f t="shared" si="15"/>
        <v>455.48086295253052</v>
      </c>
      <c r="I110" s="10">
        <f t="shared" si="16"/>
        <v>351280.55583016376</v>
      </c>
      <c r="J110">
        <f t="shared" si="17"/>
        <v>-2727.1094332622401</v>
      </c>
    </row>
    <row r="111" spans="1:10" x14ac:dyDescent="0.35">
      <c r="A111">
        <v>84</v>
      </c>
      <c r="B111">
        <v>7.7499999999999999E-2</v>
      </c>
      <c r="C111">
        <f t="shared" si="12"/>
        <v>6.4583333333333333E-3</v>
      </c>
      <c r="D111">
        <v>2727.1094332622401</v>
      </c>
      <c r="E111">
        <v>0</v>
      </c>
      <c r="F111">
        <f t="shared" si="13"/>
        <v>2727.1094332622401</v>
      </c>
      <c r="G111" s="10">
        <f t="shared" si="14"/>
        <v>2268.6869230698076</v>
      </c>
      <c r="H111" s="10">
        <f t="shared" si="15"/>
        <v>458.42251019243258</v>
      </c>
      <c r="I111" s="10">
        <f t="shared" si="16"/>
        <v>350822.13331997133</v>
      </c>
      <c r="J111">
        <f t="shared" si="17"/>
        <v>-2727.1094332622401</v>
      </c>
    </row>
    <row r="112" spans="1:10" x14ac:dyDescent="0.35">
      <c r="A112">
        <v>85</v>
      </c>
      <c r="B112">
        <v>7.7499999999999999E-2</v>
      </c>
      <c r="C112">
        <f t="shared" si="12"/>
        <v>6.4583333333333333E-3</v>
      </c>
      <c r="D112">
        <v>2727.1094332622401</v>
      </c>
      <c r="E112">
        <v>0</v>
      </c>
      <c r="F112">
        <f t="shared" si="13"/>
        <v>2727.1094332622401</v>
      </c>
      <c r="G112" s="10">
        <f t="shared" si="14"/>
        <v>2265.7262776914813</v>
      </c>
      <c r="H112" s="10">
        <f t="shared" si="15"/>
        <v>461.38315557075884</v>
      </c>
      <c r="I112" s="10">
        <f t="shared" si="16"/>
        <v>350360.75016440055</v>
      </c>
      <c r="J112">
        <f t="shared" si="17"/>
        <v>-2727.1094332622401</v>
      </c>
    </row>
    <row r="113" spans="1:10" x14ac:dyDescent="0.35">
      <c r="A113">
        <v>86</v>
      </c>
      <c r="B113">
        <v>7.7499999999999999E-2</v>
      </c>
      <c r="C113">
        <f t="shared" si="12"/>
        <v>6.4583333333333333E-3</v>
      </c>
      <c r="D113">
        <v>2727.1094332622401</v>
      </c>
      <c r="E113">
        <v>0</v>
      </c>
      <c r="F113">
        <f t="shared" si="13"/>
        <v>2727.1094332622401</v>
      </c>
      <c r="G113" s="10">
        <f t="shared" si="14"/>
        <v>2262.7465114784204</v>
      </c>
      <c r="H113" s="10">
        <f t="shared" si="15"/>
        <v>464.36292178381973</v>
      </c>
      <c r="I113" s="10">
        <f t="shared" si="16"/>
        <v>349896.38724261674</v>
      </c>
      <c r="J113">
        <f t="shared" si="17"/>
        <v>-2727.1094332622401</v>
      </c>
    </row>
    <row r="114" spans="1:10" x14ac:dyDescent="0.35">
      <c r="A114">
        <v>87</v>
      </c>
      <c r="B114">
        <v>7.7499999999999999E-2</v>
      </c>
      <c r="C114">
        <f t="shared" si="12"/>
        <v>6.4583333333333333E-3</v>
      </c>
      <c r="D114">
        <v>2727.1094332622401</v>
      </c>
      <c r="E114">
        <v>0</v>
      </c>
      <c r="F114">
        <f t="shared" si="13"/>
        <v>2727.1094332622401</v>
      </c>
      <c r="G114" s="10">
        <f t="shared" si="14"/>
        <v>2259.7475009418999</v>
      </c>
      <c r="H114" s="10">
        <f t="shared" si="15"/>
        <v>467.3619323203402</v>
      </c>
      <c r="I114" s="10">
        <f t="shared" si="16"/>
        <v>349429.02531029639</v>
      </c>
      <c r="J114">
        <f t="shared" si="17"/>
        <v>-2727.1094332622401</v>
      </c>
    </row>
    <row r="115" spans="1:10" x14ac:dyDescent="0.35">
      <c r="A115">
        <v>88</v>
      </c>
      <c r="B115">
        <v>7.7499999999999999E-2</v>
      </c>
      <c r="C115">
        <f t="shared" si="12"/>
        <v>6.4583333333333333E-3</v>
      </c>
      <c r="D115">
        <v>2727.1094332622401</v>
      </c>
      <c r="E115">
        <v>0</v>
      </c>
      <c r="F115">
        <f t="shared" si="13"/>
        <v>2727.1094332622401</v>
      </c>
      <c r="G115" s="10">
        <f t="shared" si="14"/>
        <v>2256.729121795664</v>
      </c>
      <c r="H115" s="10">
        <f t="shared" si="15"/>
        <v>470.38031146657613</v>
      </c>
      <c r="I115" s="10">
        <f t="shared" si="16"/>
        <v>348958.64499882981</v>
      </c>
      <c r="J115">
        <f t="shared" si="17"/>
        <v>-2727.1094332622401</v>
      </c>
    </row>
    <row r="116" spans="1:10" x14ac:dyDescent="0.35">
      <c r="A116">
        <v>89</v>
      </c>
      <c r="B116">
        <v>7.7499999999999999E-2</v>
      </c>
      <c r="C116">
        <f t="shared" si="12"/>
        <v>6.4583333333333333E-3</v>
      </c>
      <c r="D116">
        <v>2727.1094332622401</v>
      </c>
      <c r="E116">
        <v>0</v>
      </c>
      <c r="F116">
        <f t="shared" si="13"/>
        <v>2727.1094332622401</v>
      </c>
      <c r="G116" s="10">
        <f t="shared" si="14"/>
        <v>2253.6912489507758</v>
      </c>
      <c r="H116" s="10">
        <f t="shared" si="15"/>
        <v>473.4181843114643</v>
      </c>
      <c r="I116" s="10">
        <f t="shared" si="16"/>
        <v>348485.22681451833</v>
      </c>
      <c r="J116">
        <f t="shared" si="17"/>
        <v>-2727.1094332622401</v>
      </c>
    </row>
    <row r="117" spans="1:10" x14ac:dyDescent="0.35">
      <c r="A117">
        <v>90</v>
      </c>
      <c r="B117">
        <v>7.7499999999999999E-2</v>
      </c>
      <c r="C117">
        <f t="shared" si="12"/>
        <v>6.4583333333333333E-3</v>
      </c>
      <c r="D117">
        <v>2727.1094332622401</v>
      </c>
      <c r="E117">
        <v>0</v>
      </c>
      <c r="F117">
        <f t="shared" si="13"/>
        <v>2727.1094332622401</v>
      </c>
      <c r="G117" s="10">
        <f t="shared" si="14"/>
        <v>2250.6337565104309</v>
      </c>
      <c r="H117" s="10">
        <f t="shared" si="15"/>
        <v>476.47567675180926</v>
      </c>
      <c r="I117" s="10">
        <f t="shared" si="16"/>
        <v>348008.75113776652</v>
      </c>
      <c r="J117">
        <f t="shared" si="17"/>
        <v>-2727.1094332622401</v>
      </c>
    </row>
    <row r="118" spans="1:10" x14ac:dyDescent="0.35">
      <c r="A118">
        <v>91</v>
      </c>
      <c r="B118">
        <v>7.7499999999999999E-2</v>
      </c>
      <c r="C118">
        <f t="shared" si="12"/>
        <v>6.4583333333333333E-3</v>
      </c>
      <c r="D118">
        <v>2727.1094332622401</v>
      </c>
      <c r="E118">
        <v>0</v>
      </c>
      <c r="F118">
        <f t="shared" si="13"/>
        <v>2727.1094332622401</v>
      </c>
      <c r="G118" s="10">
        <f t="shared" si="14"/>
        <v>2247.5565177647422</v>
      </c>
      <c r="H118" s="10">
        <f t="shared" si="15"/>
        <v>479.55291549749791</v>
      </c>
      <c r="I118" s="10">
        <f t="shared" si="16"/>
        <v>347529.19822226901</v>
      </c>
      <c r="J118">
        <f t="shared" si="17"/>
        <v>-2727.1094332622401</v>
      </c>
    </row>
    <row r="119" spans="1:10" x14ac:dyDescent="0.35">
      <c r="A119">
        <v>92</v>
      </c>
      <c r="B119">
        <v>7.7499999999999999E-2</v>
      </c>
      <c r="C119">
        <f t="shared" si="12"/>
        <v>6.4583333333333333E-3</v>
      </c>
      <c r="D119">
        <v>2727.1094332622401</v>
      </c>
      <c r="E119">
        <v>0</v>
      </c>
      <c r="F119">
        <f t="shared" si="13"/>
        <v>2727.1094332622401</v>
      </c>
      <c r="G119" s="10">
        <f t="shared" si="14"/>
        <v>2244.4594051854874</v>
      </c>
      <c r="H119" s="10">
        <f t="shared" si="15"/>
        <v>482.65002807675273</v>
      </c>
      <c r="I119" s="10">
        <f t="shared" si="16"/>
        <v>347046.54819419223</v>
      </c>
      <c r="J119">
        <f t="shared" si="17"/>
        <v>-2727.1094332622401</v>
      </c>
    </row>
    <row r="120" spans="1:10" x14ac:dyDescent="0.35">
      <c r="A120">
        <v>93</v>
      </c>
      <c r="B120">
        <v>7.7499999999999999E-2</v>
      </c>
      <c r="C120">
        <f t="shared" si="12"/>
        <v>6.4583333333333333E-3</v>
      </c>
      <c r="D120">
        <v>2727.1094332622401</v>
      </c>
      <c r="E120">
        <v>0</v>
      </c>
      <c r="F120">
        <f t="shared" si="13"/>
        <v>2727.1094332622401</v>
      </c>
      <c r="G120" s="10">
        <f t="shared" si="14"/>
        <v>2241.3422904208246</v>
      </c>
      <c r="H120" s="10">
        <f t="shared" si="15"/>
        <v>485.76714284141553</v>
      </c>
      <c r="I120" s="10">
        <f t="shared" si="16"/>
        <v>346560.78105135082</v>
      </c>
      <c r="J120">
        <f t="shared" si="17"/>
        <v>-2727.1094332622401</v>
      </c>
    </row>
    <row r="121" spans="1:10" x14ac:dyDescent="0.35">
      <c r="A121">
        <v>94</v>
      </c>
      <c r="B121">
        <v>7.7499999999999999E-2</v>
      </c>
      <c r="C121">
        <f t="shared" si="12"/>
        <v>6.4583333333333333E-3</v>
      </c>
      <c r="D121">
        <v>2727.1094332622401</v>
      </c>
      <c r="E121">
        <v>0</v>
      </c>
      <c r="F121">
        <f t="shared" si="13"/>
        <v>2727.1094332622401</v>
      </c>
      <c r="G121" s="10">
        <f t="shared" si="14"/>
        <v>2238.205044289974</v>
      </c>
      <c r="H121" s="10">
        <f t="shared" si="15"/>
        <v>488.90438897226613</v>
      </c>
      <c r="I121" s="10">
        <f t="shared" si="16"/>
        <v>346071.87666237855</v>
      </c>
      <c r="J121">
        <f t="shared" si="17"/>
        <v>-2727.1094332622401</v>
      </c>
    </row>
    <row r="122" spans="1:10" x14ac:dyDescent="0.35">
      <c r="A122">
        <v>95</v>
      </c>
      <c r="B122">
        <v>7.7499999999999999E-2</v>
      </c>
      <c r="C122">
        <f t="shared" si="12"/>
        <v>6.4583333333333333E-3</v>
      </c>
      <c r="D122">
        <v>2727.1094332622401</v>
      </c>
      <c r="E122">
        <v>0</v>
      </c>
      <c r="F122">
        <f t="shared" si="13"/>
        <v>2727.1094332622401</v>
      </c>
      <c r="G122" s="10">
        <f t="shared" si="14"/>
        <v>2235.0475367778613</v>
      </c>
      <c r="H122" s="10">
        <f t="shared" si="15"/>
        <v>492.06189648437885</v>
      </c>
      <c r="I122" s="10">
        <f t="shared" si="16"/>
        <v>345579.81476589415</v>
      </c>
      <c r="J122">
        <f t="shared" si="17"/>
        <v>-2727.1094332622401</v>
      </c>
    </row>
    <row r="123" spans="1:10" x14ac:dyDescent="0.35">
      <c r="A123">
        <v>96</v>
      </c>
      <c r="B123">
        <v>7.7499999999999999E-2</v>
      </c>
      <c r="C123">
        <f t="shared" si="12"/>
        <v>6.4583333333333333E-3</v>
      </c>
      <c r="D123">
        <v>2727.1094332622401</v>
      </c>
      <c r="E123">
        <v>0</v>
      </c>
      <c r="F123">
        <f t="shared" si="13"/>
        <v>2727.1094332622401</v>
      </c>
      <c r="G123" s="10">
        <f t="shared" si="14"/>
        <v>2231.869637029733</v>
      </c>
      <c r="H123" s="10">
        <f t="shared" si="15"/>
        <v>495.23979623250716</v>
      </c>
      <c r="I123" s="10">
        <f t="shared" si="16"/>
        <v>345084.57496966165</v>
      </c>
      <c r="J123">
        <f t="shared" si="17"/>
        <v>-2727.1094332622401</v>
      </c>
    </row>
    <row r="124" spans="1:10" x14ac:dyDescent="0.35">
      <c r="A124">
        <v>97</v>
      </c>
      <c r="B124">
        <v>7.7499999999999999E-2</v>
      </c>
      <c r="C124">
        <f t="shared" si="12"/>
        <v>6.4583333333333333E-3</v>
      </c>
      <c r="D124">
        <v>2727.1094332622401</v>
      </c>
      <c r="E124">
        <v>0</v>
      </c>
      <c r="F124">
        <f t="shared" si="13"/>
        <v>2727.1094332622401</v>
      </c>
      <c r="G124" s="10">
        <f t="shared" si="14"/>
        <v>2228.6712133457313</v>
      </c>
      <c r="H124" s="10">
        <f t="shared" si="15"/>
        <v>498.43821991650884</v>
      </c>
      <c r="I124" s="10">
        <f t="shared" si="16"/>
        <v>344586.13674974517</v>
      </c>
      <c r="J124">
        <f t="shared" si="17"/>
        <v>-2727.1094332622401</v>
      </c>
    </row>
    <row r="125" spans="1:10" x14ac:dyDescent="0.35">
      <c r="A125">
        <v>98</v>
      </c>
      <c r="B125">
        <v>7.7499999999999999E-2</v>
      </c>
      <c r="C125">
        <f t="shared" si="12"/>
        <v>6.4583333333333333E-3</v>
      </c>
      <c r="D125">
        <v>2727.1094332622401</v>
      </c>
      <c r="E125">
        <v>0</v>
      </c>
      <c r="F125">
        <f t="shared" si="13"/>
        <v>2727.1094332622401</v>
      </c>
      <c r="G125" s="10">
        <f t="shared" si="14"/>
        <v>2225.4521331754377</v>
      </c>
      <c r="H125" s="10">
        <f t="shared" si="15"/>
        <v>501.65730008680248</v>
      </c>
      <c r="I125" s="10">
        <f t="shared" si="16"/>
        <v>344084.47944965836</v>
      </c>
      <c r="J125">
        <f t="shared" si="17"/>
        <v>-2727.1094332622401</v>
      </c>
    </row>
    <row r="126" spans="1:10" x14ac:dyDescent="0.35">
      <c r="A126">
        <v>99</v>
      </c>
      <c r="B126">
        <v>7.7499999999999999E-2</v>
      </c>
      <c r="C126">
        <f t="shared" si="12"/>
        <v>6.4583333333333333E-3</v>
      </c>
      <c r="D126">
        <v>2727.1094332622401</v>
      </c>
      <c r="E126">
        <v>0</v>
      </c>
      <c r="F126">
        <f t="shared" si="13"/>
        <v>2727.1094332622401</v>
      </c>
      <c r="G126" s="10">
        <f t="shared" si="14"/>
        <v>2222.2122631123771</v>
      </c>
      <c r="H126" s="10">
        <f t="shared" si="15"/>
        <v>504.89717014986309</v>
      </c>
      <c r="I126" s="10">
        <f t="shared" si="16"/>
        <v>343579.58227950853</v>
      </c>
      <c r="J126">
        <f t="shared" si="17"/>
        <v>-2727.1094332622401</v>
      </c>
    </row>
    <row r="127" spans="1:10" x14ac:dyDescent="0.35">
      <c r="A127">
        <v>100</v>
      </c>
      <c r="B127">
        <v>7.7499999999999999E-2</v>
      </c>
      <c r="C127">
        <f t="shared" si="12"/>
        <v>6.4583333333333333E-3</v>
      </c>
      <c r="D127">
        <v>2727.1094332622401</v>
      </c>
      <c r="E127">
        <v>0</v>
      </c>
      <c r="F127">
        <f t="shared" si="13"/>
        <v>2727.1094332622401</v>
      </c>
      <c r="G127" s="10">
        <f t="shared" si="14"/>
        <v>2218.9514688884924</v>
      </c>
      <c r="H127" s="10">
        <f t="shared" si="15"/>
        <v>508.15796437374775</v>
      </c>
      <c r="I127" s="10">
        <f t="shared" si="16"/>
        <v>343071.42431513476</v>
      </c>
      <c r="J127">
        <f t="shared" si="17"/>
        <v>-2727.1094332622401</v>
      </c>
    </row>
    <row r="128" spans="1:10" x14ac:dyDescent="0.35">
      <c r="A128">
        <v>101</v>
      </c>
      <c r="B128">
        <v>7.7499999999999999E-2</v>
      </c>
      <c r="C128">
        <f t="shared" si="12"/>
        <v>6.4583333333333333E-3</v>
      </c>
      <c r="D128">
        <v>2727.1094332622401</v>
      </c>
      <c r="E128">
        <v>0</v>
      </c>
      <c r="F128">
        <f t="shared" si="13"/>
        <v>2727.1094332622401</v>
      </c>
      <c r="G128" s="10">
        <f t="shared" si="14"/>
        <v>2215.6696153685784</v>
      </c>
      <c r="H128" s="10">
        <f t="shared" si="15"/>
        <v>511.43981789366171</v>
      </c>
      <c r="I128" s="10">
        <f t="shared" si="16"/>
        <v>342559.98449724109</v>
      </c>
      <c r="J128">
        <f t="shared" si="17"/>
        <v>-2727.1094332622401</v>
      </c>
    </row>
    <row r="129" spans="1:10" x14ac:dyDescent="0.35">
      <c r="A129">
        <v>102</v>
      </c>
      <c r="B129">
        <v>7.7499999999999999E-2</v>
      </c>
      <c r="C129">
        <f t="shared" si="12"/>
        <v>6.4583333333333333E-3</v>
      </c>
      <c r="D129">
        <v>2727.1094332622401</v>
      </c>
      <c r="E129">
        <v>0</v>
      </c>
      <c r="F129">
        <f t="shared" si="13"/>
        <v>2727.1094332622401</v>
      </c>
      <c r="G129" s="10">
        <f t="shared" si="14"/>
        <v>2212.366566544682</v>
      </c>
      <c r="H129" s="10">
        <f t="shared" si="15"/>
        <v>514.74286671755817</v>
      </c>
      <c r="I129" s="10">
        <f t="shared" si="16"/>
        <v>342045.24163052352</v>
      </c>
      <c r="J129">
        <f t="shared" si="17"/>
        <v>-2727.1094332622401</v>
      </c>
    </row>
    <row r="130" spans="1:10" x14ac:dyDescent="0.35">
      <c r="A130">
        <v>103</v>
      </c>
      <c r="B130">
        <v>7.7499999999999999E-2</v>
      </c>
      <c r="C130">
        <f t="shared" si="12"/>
        <v>6.4583333333333333E-3</v>
      </c>
      <c r="D130">
        <v>2727.1094332622401</v>
      </c>
      <c r="E130">
        <v>0</v>
      </c>
      <c r="F130">
        <f t="shared" si="13"/>
        <v>2727.1094332622401</v>
      </c>
      <c r="G130" s="10">
        <f t="shared" si="14"/>
        <v>2209.0421855304644</v>
      </c>
      <c r="H130" s="10">
        <f t="shared" si="15"/>
        <v>518.06724773177575</v>
      </c>
      <c r="I130" s="10">
        <f t="shared" si="16"/>
        <v>341527.17438279174</v>
      </c>
      <c r="J130">
        <f t="shared" si="17"/>
        <v>-2727.1094332622401</v>
      </c>
    </row>
    <row r="131" spans="1:10" x14ac:dyDescent="0.35">
      <c r="A131">
        <v>104</v>
      </c>
      <c r="B131">
        <v>7.7499999999999999E-2</v>
      </c>
      <c r="C131">
        <f t="shared" si="12"/>
        <v>6.4583333333333333E-3</v>
      </c>
      <c r="D131">
        <v>2727.1094332622401</v>
      </c>
      <c r="E131">
        <v>0</v>
      </c>
      <c r="F131">
        <f t="shared" si="13"/>
        <v>2727.1094332622401</v>
      </c>
      <c r="G131" s="10">
        <f t="shared" si="14"/>
        <v>2205.69633455553</v>
      </c>
      <c r="H131" s="10">
        <f t="shared" si="15"/>
        <v>521.41309870671012</v>
      </c>
      <c r="I131" s="10">
        <f t="shared" si="16"/>
        <v>341005.76128408505</v>
      </c>
      <c r="J131">
        <f t="shared" si="17"/>
        <v>-2727.1094332622401</v>
      </c>
    </row>
    <row r="132" spans="1:10" x14ac:dyDescent="0.35">
      <c r="A132">
        <v>105</v>
      </c>
      <c r="B132">
        <v>7.7499999999999999E-2</v>
      </c>
      <c r="C132">
        <f t="shared" si="12"/>
        <v>6.4583333333333333E-3</v>
      </c>
      <c r="D132">
        <v>2727.1094332622401</v>
      </c>
      <c r="E132">
        <v>0</v>
      </c>
      <c r="F132">
        <f t="shared" si="13"/>
        <v>2727.1094332622401</v>
      </c>
      <c r="G132" s="10">
        <f t="shared" si="14"/>
        <v>2202.3288749597159</v>
      </c>
      <c r="H132" s="10">
        <f t="shared" si="15"/>
        <v>524.78055830252424</v>
      </c>
      <c r="I132" s="10">
        <f t="shared" si="16"/>
        <v>340480.98072578252</v>
      </c>
      <c r="J132">
        <f t="shared" si="17"/>
        <v>-2727.1094332622401</v>
      </c>
    </row>
    <row r="133" spans="1:10" x14ac:dyDescent="0.35">
      <c r="A133">
        <v>106</v>
      </c>
      <c r="B133">
        <v>7.7499999999999999E-2</v>
      </c>
      <c r="C133">
        <f t="shared" si="12"/>
        <v>6.4583333333333333E-3</v>
      </c>
      <c r="D133">
        <v>2727.1094332622401</v>
      </c>
      <c r="E133">
        <v>0</v>
      </c>
      <c r="F133">
        <f t="shared" si="13"/>
        <v>2727.1094332622401</v>
      </c>
      <c r="G133" s="10">
        <f t="shared" si="14"/>
        <v>2198.9396671873455</v>
      </c>
      <c r="H133" s="10">
        <f t="shared" si="15"/>
        <v>528.1697660748946</v>
      </c>
      <c r="I133" s="10">
        <f t="shared" si="16"/>
        <v>339952.8109597076</v>
      </c>
      <c r="J133">
        <f t="shared" si="17"/>
        <v>-2727.1094332622401</v>
      </c>
    </row>
    <row r="134" spans="1:10" x14ac:dyDescent="0.35">
      <c r="A134">
        <v>107</v>
      </c>
      <c r="B134">
        <v>7.7499999999999999E-2</v>
      </c>
      <c r="C134">
        <f t="shared" si="12"/>
        <v>6.4583333333333333E-3</v>
      </c>
      <c r="D134">
        <v>2727.1094332622401</v>
      </c>
      <c r="E134">
        <v>0</v>
      </c>
      <c r="F134">
        <f t="shared" si="13"/>
        <v>2727.1094332622401</v>
      </c>
      <c r="G134" s="10">
        <f t="shared" si="14"/>
        <v>2195.5285707814451</v>
      </c>
      <c r="H134" s="10">
        <f t="shared" si="15"/>
        <v>531.58086248079508</v>
      </c>
      <c r="I134" s="10">
        <f t="shared" si="16"/>
        <v>339421.2300972268</v>
      </c>
      <c r="J134">
        <f t="shared" si="17"/>
        <v>-2727.1094332622401</v>
      </c>
    </row>
    <row r="135" spans="1:10" x14ac:dyDescent="0.35">
      <c r="A135">
        <v>108</v>
      </c>
      <c r="B135">
        <v>7.7499999999999999E-2</v>
      </c>
      <c r="C135">
        <f t="shared" si="12"/>
        <v>6.4583333333333333E-3</v>
      </c>
      <c r="D135">
        <v>2727.1094332622401</v>
      </c>
      <c r="E135">
        <v>0</v>
      </c>
      <c r="F135">
        <f t="shared" si="13"/>
        <v>2727.1094332622401</v>
      </c>
      <c r="G135" s="10">
        <f t="shared" si="14"/>
        <v>2192.0954443779228</v>
      </c>
      <c r="H135" s="10">
        <f t="shared" si="15"/>
        <v>535.01398888431731</v>
      </c>
      <c r="I135" s="10">
        <f t="shared" si="16"/>
        <v>338886.21610834246</v>
      </c>
      <c r="J135">
        <f t="shared" si="17"/>
        <v>-2727.1094332622401</v>
      </c>
    </row>
    <row r="136" spans="1:10" x14ac:dyDescent="0.35">
      <c r="A136">
        <v>109</v>
      </c>
      <c r="B136">
        <v>7.7499999999999999E-2</v>
      </c>
      <c r="C136">
        <f t="shared" si="12"/>
        <v>6.4583333333333333E-3</v>
      </c>
      <c r="D136">
        <v>2727.1094332622401</v>
      </c>
      <c r="E136">
        <v>0</v>
      </c>
      <c r="F136">
        <f t="shared" si="13"/>
        <v>2727.1094332622401</v>
      </c>
      <c r="G136" s="10">
        <f t="shared" si="14"/>
        <v>2188.6401456997119</v>
      </c>
      <c r="H136" s="10">
        <f t="shared" si="15"/>
        <v>538.46928756252828</v>
      </c>
      <c r="I136" s="10">
        <f t="shared" si="16"/>
        <v>338347.74682077992</v>
      </c>
      <c r="J136">
        <f t="shared" si="17"/>
        <v>-2727.1094332622401</v>
      </c>
    </row>
    <row r="137" spans="1:10" x14ac:dyDescent="0.35">
      <c r="A137">
        <v>110</v>
      </c>
      <c r="B137">
        <v>7.7499999999999999E-2</v>
      </c>
      <c r="C137">
        <f t="shared" si="12"/>
        <v>6.4583333333333333E-3</v>
      </c>
      <c r="D137">
        <v>2727.1094332622401</v>
      </c>
      <c r="E137">
        <v>0</v>
      </c>
      <c r="F137">
        <f t="shared" si="13"/>
        <v>2727.1094332622401</v>
      </c>
      <c r="G137" s="10">
        <f t="shared" si="14"/>
        <v>2185.1625315508704</v>
      </c>
      <c r="H137" s="10">
        <f t="shared" si="15"/>
        <v>541.94690171136972</v>
      </c>
      <c r="I137" s="10">
        <f t="shared" si="16"/>
        <v>337805.79991906858</v>
      </c>
      <c r="J137">
        <f t="shared" si="17"/>
        <v>-2727.1094332622401</v>
      </c>
    </row>
    <row r="138" spans="1:10" x14ac:dyDescent="0.35">
      <c r="A138">
        <v>111</v>
      </c>
      <c r="B138">
        <v>7.7499999999999999E-2</v>
      </c>
      <c r="C138">
        <f t="shared" si="12"/>
        <v>6.4583333333333333E-3</v>
      </c>
      <c r="D138">
        <v>2727.1094332622401</v>
      </c>
      <c r="E138">
        <v>0</v>
      </c>
      <c r="F138">
        <f t="shared" si="13"/>
        <v>2727.1094332622401</v>
      </c>
      <c r="G138" s="10">
        <f t="shared" si="14"/>
        <v>2181.6624578106512</v>
      </c>
      <c r="H138" s="10">
        <f t="shared" si="15"/>
        <v>545.44697545158897</v>
      </c>
      <c r="I138" s="10">
        <f t="shared" si="16"/>
        <v>337260.35294361698</v>
      </c>
      <c r="J138">
        <f t="shared" si="17"/>
        <v>-2727.1094332622401</v>
      </c>
    </row>
    <row r="139" spans="1:10" x14ac:dyDescent="0.35">
      <c r="A139">
        <v>112</v>
      </c>
      <c r="B139">
        <v>7.7499999999999999E-2</v>
      </c>
      <c r="C139">
        <f t="shared" si="12"/>
        <v>6.4583333333333333E-3</v>
      </c>
      <c r="D139">
        <v>2727.1094332622401</v>
      </c>
      <c r="E139">
        <v>0</v>
      </c>
      <c r="F139">
        <f t="shared" si="13"/>
        <v>2727.1094332622401</v>
      </c>
      <c r="G139" s="10">
        <f t="shared" si="14"/>
        <v>2178.1397794275263</v>
      </c>
      <c r="H139" s="10">
        <f t="shared" si="15"/>
        <v>548.96965383471388</v>
      </c>
      <c r="I139" s="10">
        <f t="shared" si="16"/>
        <v>336711.38328978227</v>
      </c>
      <c r="J139">
        <f t="shared" si="17"/>
        <v>-2727.1094332622401</v>
      </c>
    </row>
    <row r="140" spans="1:10" x14ac:dyDescent="0.35">
      <c r="A140">
        <v>113</v>
      </c>
      <c r="B140">
        <v>7.7499999999999999E-2</v>
      </c>
      <c r="C140">
        <f t="shared" si="12"/>
        <v>6.4583333333333333E-3</v>
      </c>
      <c r="D140">
        <v>2727.1094332622401</v>
      </c>
      <c r="E140">
        <v>0</v>
      </c>
      <c r="F140">
        <f t="shared" si="13"/>
        <v>2727.1094332622401</v>
      </c>
      <c r="G140" s="10">
        <f t="shared" si="14"/>
        <v>2174.5943504131774</v>
      </c>
      <c r="H140" s="10">
        <f t="shared" si="15"/>
        <v>552.51508284906276</v>
      </c>
      <c r="I140" s="10">
        <f t="shared" si="16"/>
        <v>336158.8682069332</v>
      </c>
      <c r="J140">
        <f t="shared" si="17"/>
        <v>-2727.1094332622401</v>
      </c>
    </row>
    <row r="141" spans="1:10" x14ac:dyDescent="0.35">
      <c r="A141">
        <v>114</v>
      </c>
      <c r="B141">
        <v>7.7499999999999999E-2</v>
      </c>
      <c r="C141">
        <f t="shared" si="12"/>
        <v>6.4583333333333333E-3</v>
      </c>
      <c r="D141">
        <v>2727.1094332622401</v>
      </c>
      <c r="E141">
        <v>0</v>
      </c>
      <c r="F141">
        <f t="shared" si="13"/>
        <v>2727.1094332622401</v>
      </c>
      <c r="G141" s="10">
        <f t="shared" si="14"/>
        <v>2171.0260238364435</v>
      </c>
      <c r="H141" s="10">
        <f t="shared" si="15"/>
        <v>556.08340942579662</v>
      </c>
      <c r="I141" s="10">
        <f t="shared" si="16"/>
        <v>335602.7847975074</v>
      </c>
      <c r="J141">
        <f t="shared" si="17"/>
        <v>-2727.1094332622401</v>
      </c>
    </row>
    <row r="142" spans="1:10" x14ac:dyDescent="0.35">
      <c r="A142">
        <v>115</v>
      </c>
      <c r="B142">
        <v>7.7499999999999999E-2</v>
      </c>
      <c r="C142">
        <f t="shared" si="12"/>
        <v>6.4583333333333333E-3</v>
      </c>
      <c r="D142">
        <v>2727.1094332622401</v>
      </c>
      <c r="E142">
        <v>0</v>
      </c>
      <c r="F142">
        <f t="shared" si="13"/>
        <v>2727.1094332622401</v>
      </c>
      <c r="G142" s="10">
        <f t="shared" si="14"/>
        <v>2167.4346518172351</v>
      </c>
      <c r="H142" s="10">
        <f t="shared" si="15"/>
        <v>559.67478144500501</v>
      </c>
      <c r="I142" s="10">
        <f t="shared" si="16"/>
        <v>335043.11001606239</v>
      </c>
      <c r="J142">
        <f t="shared" si="17"/>
        <v>-2727.1094332622401</v>
      </c>
    </row>
    <row r="143" spans="1:10" x14ac:dyDescent="0.35">
      <c r="A143">
        <v>116</v>
      </c>
      <c r="B143">
        <v>7.7499999999999999E-2</v>
      </c>
      <c r="C143">
        <f t="shared" si="12"/>
        <v>6.4583333333333333E-3</v>
      </c>
      <c r="D143">
        <v>2727.1094332622401</v>
      </c>
      <c r="E143">
        <v>0</v>
      </c>
      <c r="F143">
        <f t="shared" si="13"/>
        <v>2727.1094332622401</v>
      </c>
      <c r="G143" s="10">
        <f t="shared" si="14"/>
        <v>2163.8200855204027</v>
      </c>
      <c r="H143" s="10">
        <f t="shared" si="15"/>
        <v>563.28934774183745</v>
      </c>
      <c r="I143" s="10">
        <f t="shared" si="16"/>
        <v>334479.82066832058</v>
      </c>
      <c r="J143">
        <f t="shared" si="17"/>
        <v>-2727.1094332622401</v>
      </c>
    </row>
    <row r="144" spans="1:10" x14ac:dyDescent="0.35">
      <c r="A144">
        <v>117</v>
      </c>
      <c r="B144">
        <v>7.7499999999999999E-2</v>
      </c>
      <c r="C144">
        <f t="shared" si="12"/>
        <v>6.4583333333333333E-3</v>
      </c>
      <c r="D144">
        <v>2727.1094332622401</v>
      </c>
      <c r="E144">
        <v>0</v>
      </c>
      <c r="F144">
        <f t="shared" si="13"/>
        <v>2727.1094332622401</v>
      </c>
      <c r="G144" s="10">
        <f t="shared" si="14"/>
        <v>2160.1821751495704</v>
      </c>
      <c r="H144" s="10">
        <f t="shared" si="15"/>
        <v>566.92725811266973</v>
      </c>
      <c r="I144" s="10">
        <f t="shared" si="16"/>
        <v>333912.89341020794</v>
      </c>
      <c r="J144">
        <f t="shared" si="17"/>
        <v>-2727.1094332622401</v>
      </c>
    </row>
    <row r="145" spans="1:10" x14ac:dyDescent="0.35">
      <c r="A145">
        <v>118</v>
      </c>
      <c r="B145">
        <v>7.7499999999999999E-2</v>
      </c>
      <c r="C145">
        <f t="shared" si="12"/>
        <v>6.4583333333333333E-3</v>
      </c>
      <c r="D145">
        <v>2727.1094332622401</v>
      </c>
      <c r="E145">
        <v>0</v>
      </c>
      <c r="F145">
        <f t="shared" si="13"/>
        <v>2727.1094332622401</v>
      </c>
      <c r="G145" s="10">
        <f t="shared" si="14"/>
        <v>2156.5207699409261</v>
      </c>
      <c r="H145" s="10">
        <f t="shared" si="15"/>
        <v>570.58866332131402</v>
      </c>
      <c r="I145" s="10">
        <f t="shared" si="16"/>
        <v>333342.3047468866</v>
      </c>
      <c r="J145">
        <f t="shared" si="17"/>
        <v>-2727.1094332622401</v>
      </c>
    </row>
    <row r="146" spans="1:10" x14ac:dyDescent="0.35">
      <c r="A146">
        <v>119</v>
      </c>
      <c r="B146">
        <v>7.7499999999999999E-2</v>
      </c>
      <c r="C146">
        <f t="shared" si="12"/>
        <v>6.4583333333333333E-3</v>
      </c>
      <c r="D146">
        <v>2727.1094332622401</v>
      </c>
      <c r="E146">
        <v>0</v>
      </c>
      <c r="F146">
        <f t="shared" si="13"/>
        <v>2727.1094332622401</v>
      </c>
      <c r="G146" s="10">
        <f t="shared" si="14"/>
        <v>2152.8357181569759</v>
      </c>
      <c r="H146" s="10">
        <f t="shared" si="15"/>
        <v>574.27371510526427</v>
      </c>
      <c r="I146" s="10">
        <f t="shared" si="16"/>
        <v>332768.03103178134</v>
      </c>
      <c r="J146">
        <f t="shared" si="17"/>
        <v>-2727.1094332622401</v>
      </c>
    </row>
    <row r="147" spans="1:10" x14ac:dyDescent="0.35">
      <c r="A147">
        <v>120</v>
      </c>
      <c r="B147">
        <v>7.7499999999999999E-2</v>
      </c>
      <c r="C147">
        <f t="shared" si="12"/>
        <v>6.4583333333333333E-3</v>
      </c>
      <c r="D147">
        <v>2727.1094332622401</v>
      </c>
      <c r="E147">
        <v>0</v>
      </c>
      <c r="F147">
        <f t="shared" si="13"/>
        <v>2727.1094332622401</v>
      </c>
      <c r="G147" s="10">
        <f t="shared" si="14"/>
        <v>2149.1268670802547</v>
      </c>
      <c r="H147" s="10">
        <f t="shared" si="15"/>
        <v>577.98256618198548</v>
      </c>
      <c r="I147" s="10">
        <f t="shared" si="16"/>
        <v>332190.04846559936</v>
      </c>
      <c r="J147">
        <f t="shared" si="17"/>
        <v>-2727.1094332622401</v>
      </c>
    </row>
    <row r="148" spans="1:10" x14ac:dyDescent="0.35">
      <c r="A148">
        <v>121</v>
      </c>
      <c r="B148">
        <v>7.7499999999999999E-2</v>
      </c>
      <c r="C148">
        <f t="shared" si="12"/>
        <v>6.4583333333333333E-3</v>
      </c>
      <c r="D148">
        <v>2727.1094332622401</v>
      </c>
      <c r="E148">
        <v>0</v>
      </c>
      <c r="F148">
        <f t="shared" si="13"/>
        <v>2727.1094332622401</v>
      </c>
      <c r="G148" s="10">
        <f t="shared" si="14"/>
        <v>2145.394063006996</v>
      </c>
      <c r="H148" s="10">
        <f t="shared" si="15"/>
        <v>581.71537025524412</v>
      </c>
      <c r="I148" s="10">
        <f t="shared" si="16"/>
        <v>331608.33309534413</v>
      </c>
      <c r="J148">
        <f t="shared" si="17"/>
        <v>-2727.1094332622401</v>
      </c>
    </row>
    <row r="149" spans="1:10" x14ac:dyDescent="0.35">
      <c r="A149">
        <v>122</v>
      </c>
      <c r="B149">
        <v>7.7499999999999999E-2</v>
      </c>
      <c r="C149">
        <f t="shared" si="12"/>
        <v>6.4583333333333333E-3</v>
      </c>
      <c r="D149">
        <v>2727.1094332622401</v>
      </c>
      <c r="E149">
        <v>0</v>
      </c>
      <c r="F149">
        <f t="shared" si="13"/>
        <v>2727.1094332622401</v>
      </c>
      <c r="G149" s="10">
        <f t="shared" si="14"/>
        <v>2141.6371512407641</v>
      </c>
      <c r="H149" s="10">
        <f t="shared" si="15"/>
        <v>585.47228202147608</v>
      </c>
      <c r="I149" s="10">
        <f t="shared" si="16"/>
        <v>331022.86081332265</v>
      </c>
      <c r="J149">
        <f t="shared" si="17"/>
        <v>-2727.1094332622401</v>
      </c>
    </row>
    <row r="150" spans="1:10" x14ac:dyDescent="0.35">
      <c r="A150">
        <v>123</v>
      </c>
      <c r="B150">
        <v>7.7499999999999999E-2</v>
      </c>
      <c r="C150">
        <f t="shared" si="12"/>
        <v>6.4583333333333333E-3</v>
      </c>
      <c r="D150">
        <v>2727.1094332622401</v>
      </c>
      <c r="E150">
        <v>0</v>
      </c>
      <c r="F150">
        <f t="shared" si="13"/>
        <v>2727.1094332622401</v>
      </c>
      <c r="G150" s="10">
        <f t="shared" si="14"/>
        <v>2137.8559760860421</v>
      </c>
      <c r="H150" s="10">
        <f t="shared" si="15"/>
        <v>589.25345717619803</v>
      </c>
      <c r="I150" s="10">
        <f t="shared" si="16"/>
        <v>330433.60735614644</v>
      </c>
      <c r="J150">
        <f t="shared" si="17"/>
        <v>-2727.1094332622401</v>
      </c>
    </row>
    <row r="151" spans="1:10" x14ac:dyDescent="0.35">
      <c r="A151">
        <v>124</v>
      </c>
      <c r="B151">
        <v>7.7499999999999999E-2</v>
      </c>
      <c r="C151">
        <f t="shared" si="12"/>
        <v>6.4583333333333333E-3</v>
      </c>
      <c r="D151">
        <v>2727.1094332622401</v>
      </c>
      <c r="E151">
        <v>0</v>
      </c>
      <c r="F151">
        <f t="shared" si="13"/>
        <v>2727.1094332622401</v>
      </c>
      <c r="G151" s="10">
        <f t="shared" si="14"/>
        <v>2134.0503808417793</v>
      </c>
      <c r="H151" s="10">
        <f t="shared" si="15"/>
        <v>593.05905242046083</v>
      </c>
      <c r="I151" s="10">
        <f t="shared" si="16"/>
        <v>329840.54830372595</v>
      </c>
      <c r="J151">
        <f t="shared" si="17"/>
        <v>-2727.1094332622401</v>
      </c>
    </row>
    <row r="152" spans="1:10" x14ac:dyDescent="0.35">
      <c r="A152">
        <v>125</v>
      </c>
      <c r="B152">
        <v>7.7499999999999999E-2</v>
      </c>
      <c r="C152">
        <f t="shared" si="12"/>
        <v>6.4583333333333333E-3</v>
      </c>
      <c r="D152">
        <v>2727.1094332622401</v>
      </c>
      <c r="E152">
        <v>0</v>
      </c>
      <c r="F152">
        <f t="shared" si="13"/>
        <v>2727.1094332622401</v>
      </c>
      <c r="G152" s="10">
        <f t="shared" si="14"/>
        <v>2130.2202077948969</v>
      </c>
      <c r="H152" s="10">
        <f t="shared" si="15"/>
        <v>596.88922546734329</v>
      </c>
      <c r="I152" s="10">
        <f t="shared" si="16"/>
        <v>329243.65907825861</v>
      </c>
      <c r="J152">
        <f t="shared" si="17"/>
        <v>-2727.1094332622401</v>
      </c>
    </row>
    <row r="153" spans="1:10" x14ac:dyDescent="0.35">
      <c r="A153">
        <v>126</v>
      </c>
      <c r="B153">
        <v>7.7499999999999999E-2</v>
      </c>
      <c r="C153">
        <f t="shared" si="12"/>
        <v>6.4583333333333333E-3</v>
      </c>
      <c r="D153">
        <v>2727.1094332622401</v>
      </c>
      <c r="E153">
        <v>0</v>
      </c>
      <c r="F153">
        <f t="shared" si="13"/>
        <v>2727.1094332622401</v>
      </c>
      <c r="G153" s="10">
        <f t="shared" si="14"/>
        <v>2126.3652982137537</v>
      </c>
      <c r="H153" s="10">
        <f t="shared" si="15"/>
        <v>600.74413504848644</v>
      </c>
      <c r="I153" s="10">
        <f t="shared" si="16"/>
        <v>328642.91494321014</v>
      </c>
      <c r="J153">
        <f t="shared" si="17"/>
        <v>-2727.1094332622401</v>
      </c>
    </row>
    <row r="154" spans="1:10" x14ac:dyDescent="0.35">
      <c r="A154">
        <v>127</v>
      </c>
      <c r="B154">
        <v>7.7499999999999999E-2</v>
      </c>
      <c r="C154">
        <f t="shared" si="12"/>
        <v>6.4583333333333333E-3</v>
      </c>
      <c r="D154">
        <v>2727.1094332622401</v>
      </c>
      <c r="E154">
        <v>0</v>
      </c>
      <c r="F154">
        <f t="shared" si="13"/>
        <v>2727.1094332622401</v>
      </c>
      <c r="G154" s="10">
        <f t="shared" si="14"/>
        <v>2122.4854923415655</v>
      </c>
      <c r="H154" s="10">
        <f t="shared" si="15"/>
        <v>604.62394092067461</v>
      </c>
      <c r="I154" s="10">
        <f t="shared" si="16"/>
        <v>328038.29100228945</v>
      </c>
      <c r="J154">
        <f t="shared" si="17"/>
        <v>-2727.1094332622401</v>
      </c>
    </row>
    <row r="155" spans="1:10" x14ac:dyDescent="0.35">
      <c r="A155">
        <v>128</v>
      </c>
      <c r="B155">
        <v>7.7499999999999999E-2</v>
      </c>
      <c r="C155">
        <f t="shared" si="12"/>
        <v>6.4583333333333333E-3</v>
      </c>
      <c r="D155">
        <v>2727.1094332622401</v>
      </c>
      <c r="E155">
        <v>0</v>
      </c>
      <c r="F155">
        <f t="shared" si="13"/>
        <v>2727.1094332622401</v>
      </c>
      <c r="G155" s="10">
        <f t="shared" si="14"/>
        <v>2118.5806293897858</v>
      </c>
      <c r="H155" s="10">
        <f t="shared" si="15"/>
        <v>608.52880387245432</v>
      </c>
      <c r="I155" s="10">
        <f t="shared" si="16"/>
        <v>327429.76219841698</v>
      </c>
      <c r="J155">
        <f t="shared" si="17"/>
        <v>-2727.1094332622401</v>
      </c>
    </row>
    <row r="156" spans="1:10" x14ac:dyDescent="0.35">
      <c r="A156">
        <v>129</v>
      </c>
      <c r="B156">
        <v>7.7499999999999999E-2</v>
      </c>
      <c r="C156">
        <f t="shared" si="12"/>
        <v>6.4583333333333333E-3</v>
      </c>
      <c r="D156">
        <v>2727.1094332622401</v>
      </c>
      <c r="E156">
        <v>0</v>
      </c>
      <c r="F156">
        <f t="shared" si="13"/>
        <v>2727.1094332622401</v>
      </c>
      <c r="G156" s="10">
        <f t="shared" si="14"/>
        <v>2114.650547531443</v>
      </c>
      <c r="H156" s="10">
        <f t="shared" si="15"/>
        <v>612.45888573079719</v>
      </c>
      <c r="I156" s="10">
        <f t="shared" si="16"/>
        <v>326817.30331268616</v>
      </c>
      <c r="J156">
        <f t="shared" si="17"/>
        <v>-2727.1094332622401</v>
      </c>
    </row>
    <row r="157" spans="1:10" x14ac:dyDescent="0.35">
      <c r="A157">
        <v>130</v>
      </c>
      <c r="B157">
        <v>7.7499999999999999E-2</v>
      </c>
      <c r="C157">
        <f t="shared" si="12"/>
        <v>6.4583333333333333E-3</v>
      </c>
      <c r="D157">
        <v>2727.1094332622401</v>
      </c>
      <c r="E157">
        <v>0</v>
      </c>
      <c r="F157">
        <f t="shared" si="13"/>
        <v>2727.1094332622401</v>
      </c>
      <c r="G157" s="10">
        <f t="shared" si="14"/>
        <v>2110.6950838944313</v>
      </c>
      <c r="H157" s="10">
        <f t="shared" si="15"/>
        <v>616.41434936780888</v>
      </c>
      <c r="I157" s="10">
        <f t="shared" si="16"/>
        <v>326200.88896331837</v>
      </c>
      <c r="J157">
        <f t="shared" si="17"/>
        <v>-2727.1094332622401</v>
      </c>
    </row>
    <row r="158" spans="1:10" x14ac:dyDescent="0.35">
      <c r="A158">
        <v>131</v>
      </c>
      <c r="B158">
        <v>7.7499999999999999E-2</v>
      </c>
      <c r="C158">
        <f t="shared" si="12"/>
        <v>6.4583333333333333E-3</v>
      </c>
      <c r="D158">
        <v>2727.1094332622401</v>
      </c>
      <c r="E158">
        <v>0</v>
      </c>
      <c r="F158">
        <f t="shared" si="13"/>
        <v>2727.1094332622401</v>
      </c>
      <c r="G158" s="10">
        <f t="shared" si="14"/>
        <v>2106.7140745547645</v>
      </c>
      <c r="H158" s="10">
        <f t="shared" si="15"/>
        <v>620.39535870747568</v>
      </c>
      <c r="I158" s="10">
        <f t="shared" si="16"/>
        <v>325580.49360461091</v>
      </c>
      <c r="J158">
        <f t="shared" si="17"/>
        <v>-2727.1094332622401</v>
      </c>
    </row>
    <row r="159" spans="1:10" x14ac:dyDescent="0.35">
      <c r="A159">
        <v>132</v>
      </c>
      <c r="B159">
        <v>7.7499999999999999E-2</v>
      </c>
      <c r="C159">
        <f t="shared" si="12"/>
        <v>6.4583333333333333E-3</v>
      </c>
      <c r="D159">
        <v>2727.1094332622401</v>
      </c>
      <c r="E159">
        <v>0</v>
      </c>
      <c r="F159">
        <f t="shared" si="13"/>
        <v>2727.1094332622401</v>
      </c>
      <c r="G159" s="10">
        <f t="shared" si="14"/>
        <v>2102.707354529779</v>
      </c>
      <c r="H159" s="10">
        <f t="shared" si="15"/>
        <v>624.40207873246118</v>
      </c>
      <c r="I159" s="10">
        <f t="shared" si="16"/>
        <v>324956.09152587847</v>
      </c>
      <c r="J159">
        <f t="shared" si="17"/>
        <v>-2727.1094332622401</v>
      </c>
    </row>
    <row r="160" spans="1:10" x14ac:dyDescent="0.35">
      <c r="A160">
        <v>133</v>
      </c>
      <c r="B160">
        <v>7.7499999999999999E-2</v>
      </c>
      <c r="C160">
        <f t="shared" ref="C160:C223" si="18">B160/12</f>
        <v>6.4583333333333333E-3</v>
      </c>
      <c r="D160">
        <v>2727.1094332622401</v>
      </c>
      <c r="E160">
        <v>0</v>
      </c>
      <c r="F160">
        <f t="shared" ref="F160:F223" si="19">D160+E160</f>
        <v>2727.1094332622401</v>
      </c>
      <c r="G160" s="10">
        <f t="shared" ref="G160:G223" si="20">C160*I159</f>
        <v>2098.6747577712986</v>
      </c>
      <c r="H160" s="10">
        <f t="shared" ref="H160:H223" si="21">D160-G160</f>
        <v>628.43467549094157</v>
      </c>
      <c r="I160" s="10">
        <f t="shared" ref="I160:I223" si="22">I159-H160</f>
        <v>324327.65685038752</v>
      </c>
      <c r="J160">
        <f t="shared" ref="J160:J223" si="23">-F160</f>
        <v>-2727.1094332622401</v>
      </c>
    </row>
    <row r="161" spans="1:10" x14ac:dyDescent="0.35">
      <c r="A161">
        <v>134</v>
      </c>
      <c r="B161">
        <v>7.7499999999999999E-2</v>
      </c>
      <c r="C161">
        <f t="shared" si="18"/>
        <v>6.4583333333333333E-3</v>
      </c>
      <c r="D161">
        <v>2727.1094332622401</v>
      </c>
      <c r="E161">
        <v>0</v>
      </c>
      <c r="F161">
        <f t="shared" si="19"/>
        <v>2727.1094332622401</v>
      </c>
      <c r="G161" s="10">
        <f t="shared" si="20"/>
        <v>2094.6161171587528</v>
      </c>
      <c r="H161" s="10">
        <f t="shared" si="21"/>
        <v>632.49331610348736</v>
      </c>
      <c r="I161" s="10">
        <f t="shared" si="22"/>
        <v>323695.16353428405</v>
      </c>
      <c r="J161">
        <f t="shared" si="23"/>
        <v>-2727.1094332622401</v>
      </c>
    </row>
    <row r="162" spans="1:10" x14ac:dyDescent="0.35">
      <c r="A162">
        <v>135</v>
      </c>
      <c r="B162">
        <v>7.7499999999999999E-2</v>
      </c>
      <c r="C162">
        <f t="shared" si="18"/>
        <v>6.4583333333333333E-3</v>
      </c>
      <c r="D162">
        <v>2727.1094332622401</v>
      </c>
      <c r="E162">
        <v>0</v>
      </c>
      <c r="F162">
        <f t="shared" si="19"/>
        <v>2727.1094332622401</v>
      </c>
      <c r="G162" s="10">
        <f t="shared" si="20"/>
        <v>2090.531264492251</v>
      </c>
      <c r="H162" s="10">
        <f t="shared" si="21"/>
        <v>636.57816876998913</v>
      </c>
      <c r="I162" s="10">
        <f t="shared" si="22"/>
        <v>323058.58536551404</v>
      </c>
      <c r="J162">
        <f t="shared" si="23"/>
        <v>-2727.1094332622401</v>
      </c>
    </row>
    <row r="163" spans="1:10" x14ac:dyDescent="0.35">
      <c r="A163">
        <v>136</v>
      </c>
      <c r="B163">
        <v>7.7499999999999999E-2</v>
      </c>
      <c r="C163">
        <f t="shared" si="18"/>
        <v>6.4583333333333333E-3</v>
      </c>
      <c r="D163">
        <v>2727.1094332622401</v>
      </c>
      <c r="E163">
        <v>0</v>
      </c>
      <c r="F163">
        <f t="shared" si="19"/>
        <v>2727.1094332622401</v>
      </c>
      <c r="G163" s="10">
        <f t="shared" si="20"/>
        <v>2086.4200304856113</v>
      </c>
      <c r="H163" s="10">
        <f t="shared" si="21"/>
        <v>640.68940277662887</v>
      </c>
      <c r="I163" s="10">
        <f t="shared" si="22"/>
        <v>322417.89596273738</v>
      </c>
      <c r="J163">
        <f t="shared" si="23"/>
        <v>-2727.1094332622401</v>
      </c>
    </row>
    <row r="164" spans="1:10" x14ac:dyDescent="0.35">
      <c r="A164">
        <v>137</v>
      </c>
      <c r="B164">
        <v>7.7499999999999999E-2</v>
      </c>
      <c r="C164">
        <f t="shared" si="18"/>
        <v>6.4583333333333333E-3</v>
      </c>
      <c r="D164">
        <v>2727.1094332622401</v>
      </c>
      <c r="E164">
        <v>0</v>
      </c>
      <c r="F164">
        <f t="shared" si="19"/>
        <v>2727.1094332622401</v>
      </c>
      <c r="G164" s="10">
        <f t="shared" si="20"/>
        <v>2082.2822447593458</v>
      </c>
      <c r="H164" s="10">
        <f t="shared" si="21"/>
        <v>644.82718850289439</v>
      </c>
      <c r="I164" s="10">
        <f t="shared" si="22"/>
        <v>321773.0687742345</v>
      </c>
      <c r="J164">
        <f t="shared" si="23"/>
        <v>-2727.1094332622401</v>
      </c>
    </row>
    <row r="165" spans="1:10" x14ac:dyDescent="0.35">
      <c r="A165">
        <v>138</v>
      </c>
      <c r="B165">
        <v>7.7499999999999999E-2</v>
      </c>
      <c r="C165">
        <f t="shared" si="18"/>
        <v>6.4583333333333333E-3</v>
      </c>
      <c r="D165">
        <v>2727.1094332622401</v>
      </c>
      <c r="E165">
        <v>0</v>
      </c>
      <c r="F165">
        <f t="shared" si="19"/>
        <v>2727.1094332622401</v>
      </c>
      <c r="G165" s="10">
        <f t="shared" si="20"/>
        <v>2078.1177358335976</v>
      </c>
      <c r="H165" s="10">
        <f t="shared" si="21"/>
        <v>648.99169742864251</v>
      </c>
      <c r="I165" s="10">
        <f t="shared" si="22"/>
        <v>321124.07707680587</v>
      </c>
      <c r="J165">
        <f t="shared" si="23"/>
        <v>-2727.1094332622401</v>
      </c>
    </row>
    <row r="166" spans="1:10" x14ac:dyDescent="0.35">
      <c r="A166">
        <v>139</v>
      </c>
      <c r="B166">
        <v>7.7499999999999999E-2</v>
      </c>
      <c r="C166">
        <f t="shared" si="18"/>
        <v>6.4583333333333333E-3</v>
      </c>
      <c r="D166">
        <v>2727.1094332622401</v>
      </c>
      <c r="E166">
        <v>0</v>
      </c>
      <c r="F166">
        <f t="shared" si="19"/>
        <v>2727.1094332622401</v>
      </c>
      <c r="G166" s="10">
        <f t="shared" si="20"/>
        <v>2073.9263311210379</v>
      </c>
      <c r="H166" s="10">
        <f t="shared" si="21"/>
        <v>653.1831021412022</v>
      </c>
      <c r="I166" s="10">
        <f t="shared" si="22"/>
        <v>320470.89397466468</v>
      </c>
      <c r="J166">
        <f t="shared" si="23"/>
        <v>-2727.1094332622401</v>
      </c>
    </row>
    <row r="167" spans="1:10" x14ac:dyDescent="0.35">
      <c r="A167">
        <v>140</v>
      </c>
      <c r="B167">
        <v>7.7499999999999999E-2</v>
      </c>
      <c r="C167">
        <f t="shared" si="18"/>
        <v>6.4583333333333333E-3</v>
      </c>
      <c r="D167">
        <v>2727.1094332622401</v>
      </c>
      <c r="E167">
        <v>0</v>
      </c>
      <c r="F167">
        <f t="shared" si="19"/>
        <v>2727.1094332622401</v>
      </c>
      <c r="G167" s="10">
        <f t="shared" si="20"/>
        <v>2069.7078569197092</v>
      </c>
      <c r="H167" s="10">
        <f t="shared" si="21"/>
        <v>657.40157634253092</v>
      </c>
      <c r="I167" s="10">
        <f t="shared" si="22"/>
        <v>319813.49239832215</v>
      </c>
      <c r="J167">
        <f t="shared" si="23"/>
        <v>-2727.1094332622401</v>
      </c>
    </row>
    <row r="168" spans="1:10" x14ac:dyDescent="0.35">
      <c r="A168">
        <v>141</v>
      </c>
      <c r="B168">
        <v>7.7499999999999999E-2</v>
      </c>
      <c r="C168">
        <f t="shared" si="18"/>
        <v>6.4583333333333333E-3</v>
      </c>
      <c r="D168">
        <v>2727.1094332622401</v>
      </c>
      <c r="E168">
        <v>0</v>
      </c>
      <c r="F168">
        <f t="shared" si="19"/>
        <v>2727.1094332622401</v>
      </c>
      <c r="G168" s="10">
        <f t="shared" si="20"/>
        <v>2065.4621384058305</v>
      </c>
      <c r="H168" s="10">
        <f t="shared" si="21"/>
        <v>661.64729485640964</v>
      </c>
      <c r="I168" s="10">
        <f t="shared" si="22"/>
        <v>319151.84510346572</v>
      </c>
      <c r="J168">
        <f t="shared" si="23"/>
        <v>-2727.1094332622401</v>
      </c>
    </row>
    <row r="169" spans="1:10" x14ac:dyDescent="0.35">
      <c r="A169">
        <v>142</v>
      </c>
      <c r="B169">
        <v>7.7499999999999999E-2</v>
      </c>
      <c r="C169">
        <f t="shared" si="18"/>
        <v>6.4583333333333333E-3</v>
      </c>
      <c r="D169">
        <v>2727.1094332622401</v>
      </c>
      <c r="E169">
        <v>0</v>
      </c>
      <c r="F169">
        <f t="shared" si="19"/>
        <v>2727.1094332622401</v>
      </c>
      <c r="G169" s="10">
        <f t="shared" si="20"/>
        <v>2061.1889996265495</v>
      </c>
      <c r="H169" s="10">
        <f t="shared" si="21"/>
        <v>665.92043363569064</v>
      </c>
      <c r="I169" s="10">
        <f t="shared" si="22"/>
        <v>318485.92466983001</v>
      </c>
      <c r="J169">
        <f t="shared" si="23"/>
        <v>-2727.1094332622401</v>
      </c>
    </row>
    <row r="170" spans="1:10" x14ac:dyDescent="0.35">
      <c r="A170">
        <v>143</v>
      </c>
      <c r="B170">
        <v>7.7499999999999999E-2</v>
      </c>
      <c r="C170">
        <f t="shared" si="18"/>
        <v>6.4583333333333333E-3</v>
      </c>
      <c r="D170">
        <v>2727.1094332622401</v>
      </c>
      <c r="E170">
        <v>0</v>
      </c>
      <c r="F170">
        <f t="shared" si="19"/>
        <v>2727.1094332622401</v>
      </c>
      <c r="G170" s="10">
        <f t="shared" si="20"/>
        <v>2056.8882634926522</v>
      </c>
      <c r="H170" s="10">
        <f t="shared" si="21"/>
        <v>670.22116976958796</v>
      </c>
      <c r="I170" s="10">
        <f t="shared" si="22"/>
        <v>317815.70350006042</v>
      </c>
      <c r="J170">
        <f t="shared" si="23"/>
        <v>-2727.1094332622401</v>
      </c>
    </row>
    <row r="171" spans="1:10" x14ac:dyDescent="0.35">
      <c r="A171">
        <v>144</v>
      </c>
      <c r="B171">
        <v>7.7499999999999999E-2</v>
      </c>
      <c r="C171">
        <f t="shared" si="18"/>
        <v>6.4583333333333333E-3</v>
      </c>
      <c r="D171">
        <v>2727.1094332622401</v>
      </c>
      <c r="E171">
        <v>0</v>
      </c>
      <c r="F171">
        <f t="shared" si="19"/>
        <v>2727.1094332622401</v>
      </c>
      <c r="G171" s="10">
        <f t="shared" si="20"/>
        <v>2052.5597517712235</v>
      </c>
      <c r="H171" s="10">
        <f t="shared" si="21"/>
        <v>674.5496814910166</v>
      </c>
      <c r="I171" s="10">
        <f t="shared" si="22"/>
        <v>317141.15381856938</v>
      </c>
      <c r="J171">
        <f t="shared" si="23"/>
        <v>-2727.1094332622401</v>
      </c>
    </row>
    <row r="172" spans="1:10" x14ac:dyDescent="0.35">
      <c r="A172">
        <v>145</v>
      </c>
      <c r="B172">
        <v>7.7499999999999999E-2</v>
      </c>
      <c r="C172">
        <f t="shared" si="18"/>
        <v>6.4583333333333333E-3</v>
      </c>
      <c r="D172">
        <v>2727.1094332622401</v>
      </c>
      <c r="E172">
        <v>0</v>
      </c>
      <c r="F172">
        <f t="shared" si="19"/>
        <v>2727.1094332622401</v>
      </c>
      <c r="G172" s="10">
        <f t="shared" si="20"/>
        <v>2048.2032850782607</v>
      </c>
      <c r="H172" s="10">
        <f t="shared" si="21"/>
        <v>678.90614818397944</v>
      </c>
      <c r="I172" s="10">
        <f t="shared" si="22"/>
        <v>316462.2476703854</v>
      </c>
      <c r="J172">
        <f t="shared" si="23"/>
        <v>-2727.1094332622401</v>
      </c>
    </row>
    <row r="173" spans="1:10" x14ac:dyDescent="0.35">
      <c r="A173">
        <v>146</v>
      </c>
      <c r="B173">
        <v>7.7499999999999999E-2</v>
      </c>
      <c r="C173">
        <f t="shared" si="18"/>
        <v>6.4583333333333333E-3</v>
      </c>
      <c r="D173">
        <v>2727.1094332622401</v>
      </c>
      <c r="E173">
        <v>0</v>
      </c>
      <c r="F173">
        <f t="shared" si="19"/>
        <v>2727.1094332622401</v>
      </c>
      <c r="G173" s="10">
        <f t="shared" si="20"/>
        <v>2043.8186828712392</v>
      </c>
      <c r="H173" s="10">
        <f t="shared" si="21"/>
        <v>683.29075039100098</v>
      </c>
      <c r="I173" s="10">
        <f t="shared" si="22"/>
        <v>315778.95691999438</v>
      </c>
      <c r="J173">
        <f t="shared" si="23"/>
        <v>-2727.1094332622401</v>
      </c>
    </row>
    <row r="174" spans="1:10" x14ac:dyDescent="0.35">
      <c r="A174">
        <v>147</v>
      </c>
      <c r="B174">
        <v>7.7499999999999999E-2</v>
      </c>
      <c r="C174">
        <f t="shared" si="18"/>
        <v>6.4583333333333333E-3</v>
      </c>
      <c r="D174">
        <v>2727.1094332622401</v>
      </c>
      <c r="E174">
        <v>0</v>
      </c>
      <c r="F174">
        <f t="shared" si="19"/>
        <v>2727.1094332622401</v>
      </c>
      <c r="G174" s="10">
        <f t="shared" si="20"/>
        <v>2039.4057634416304</v>
      </c>
      <c r="H174" s="10">
        <f t="shared" si="21"/>
        <v>687.70366982060978</v>
      </c>
      <c r="I174" s="10">
        <f t="shared" si="22"/>
        <v>315091.25325017376</v>
      </c>
      <c r="J174">
        <f t="shared" si="23"/>
        <v>-2727.1094332622401</v>
      </c>
    </row>
    <row r="175" spans="1:10" x14ac:dyDescent="0.35">
      <c r="A175">
        <v>148</v>
      </c>
      <c r="B175">
        <v>7.7499999999999999E-2</v>
      </c>
      <c r="C175">
        <f t="shared" si="18"/>
        <v>6.4583333333333333E-3</v>
      </c>
      <c r="D175">
        <v>2727.1094332622401</v>
      </c>
      <c r="E175">
        <v>0</v>
      </c>
      <c r="F175">
        <f t="shared" si="19"/>
        <v>2727.1094332622401</v>
      </c>
      <c r="G175" s="10">
        <f t="shared" si="20"/>
        <v>2034.9643439073723</v>
      </c>
      <c r="H175" s="10">
        <f t="shared" si="21"/>
        <v>692.14508935486788</v>
      </c>
      <c r="I175" s="10">
        <f t="shared" si="22"/>
        <v>314399.10816081887</v>
      </c>
      <c r="J175">
        <f t="shared" si="23"/>
        <v>-2727.1094332622401</v>
      </c>
    </row>
    <row r="176" spans="1:10" x14ac:dyDescent="0.35">
      <c r="A176">
        <v>149</v>
      </c>
      <c r="B176">
        <v>7.7499999999999999E-2</v>
      </c>
      <c r="C176">
        <f t="shared" si="18"/>
        <v>6.4583333333333333E-3</v>
      </c>
      <c r="D176">
        <v>2727.1094332622401</v>
      </c>
      <c r="E176">
        <v>0</v>
      </c>
      <c r="F176">
        <f t="shared" si="19"/>
        <v>2727.1094332622401</v>
      </c>
      <c r="G176" s="10">
        <f t="shared" si="20"/>
        <v>2030.4942402052884</v>
      </c>
      <c r="H176" s="10">
        <f t="shared" si="21"/>
        <v>696.61519305695174</v>
      </c>
      <c r="I176" s="10">
        <f t="shared" si="22"/>
        <v>313702.49296776194</v>
      </c>
      <c r="J176">
        <f t="shared" si="23"/>
        <v>-2727.1094332622401</v>
      </c>
    </row>
    <row r="177" spans="1:10" x14ac:dyDescent="0.35">
      <c r="A177">
        <v>150</v>
      </c>
      <c r="B177">
        <v>7.7499999999999999E-2</v>
      </c>
      <c r="C177">
        <f t="shared" si="18"/>
        <v>6.4583333333333333E-3</v>
      </c>
      <c r="D177">
        <v>2727.1094332622401</v>
      </c>
      <c r="E177">
        <v>0</v>
      </c>
      <c r="F177">
        <f t="shared" si="19"/>
        <v>2727.1094332622401</v>
      </c>
      <c r="G177" s="10">
        <f t="shared" si="20"/>
        <v>2025.9952670834625</v>
      </c>
      <c r="H177" s="10">
        <f t="shared" si="21"/>
        <v>701.11416617877762</v>
      </c>
      <c r="I177" s="10">
        <f t="shared" si="22"/>
        <v>313001.37880158314</v>
      </c>
      <c r="J177">
        <f t="shared" si="23"/>
        <v>-2727.1094332622401</v>
      </c>
    </row>
    <row r="178" spans="1:10" x14ac:dyDescent="0.35">
      <c r="A178">
        <v>151</v>
      </c>
      <c r="B178">
        <v>7.7499999999999999E-2</v>
      </c>
      <c r="C178">
        <f t="shared" si="18"/>
        <v>6.4583333333333333E-3</v>
      </c>
      <c r="D178">
        <v>2727.1094332622401</v>
      </c>
      <c r="E178">
        <v>0</v>
      </c>
      <c r="F178">
        <f t="shared" si="19"/>
        <v>2727.1094332622401</v>
      </c>
      <c r="G178" s="10">
        <f t="shared" si="20"/>
        <v>2021.4672380935579</v>
      </c>
      <c r="H178" s="10">
        <f t="shared" si="21"/>
        <v>705.64219516868229</v>
      </c>
      <c r="I178" s="10">
        <f t="shared" si="22"/>
        <v>312295.73660641443</v>
      </c>
      <c r="J178">
        <f t="shared" si="23"/>
        <v>-2727.1094332622401</v>
      </c>
    </row>
    <row r="179" spans="1:10" x14ac:dyDescent="0.35">
      <c r="A179">
        <v>152</v>
      </c>
      <c r="B179">
        <v>7.7499999999999999E-2</v>
      </c>
      <c r="C179">
        <f t="shared" si="18"/>
        <v>6.4583333333333333E-3</v>
      </c>
      <c r="D179">
        <v>2727.1094332622401</v>
      </c>
      <c r="E179">
        <v>0</v>
      </c>
      <c r="F179">
        <f t="shared" si="19"/>
        <v>2727.1094332622401</v>
      </c>
      <c r="G179" s="10">
        <f t="shared" si="20"/>
        <v>2016.9099655830933</v>
      </c>
      <c r="H179" s="10">
        <f t="shared" si="21"/>
        <v>710.19946767914689</v>
      </c>
      <c r="I179" s="10">
        <f t="shared" si="22"/>
        <v>311585.53713873529</v>
      </c>
      <c r="J179">
        <f t="shared" si="23"/>
        <v>-2727.1094332622401</v>
      </c>
    </row>
    <row r="180" spans="1:10" x14ac:dyDescent="0.35">
      <c r="A180">
        <v>153</v>
      </c>
      <c r="B180">
        <v>7.7499999999999999E-2</v>
      </c>
      <c r="C180">
        <f t="shared" si="18"/>
        <v>6.4583333333333333E-3</v>
      </c>
      <c r="D180">
        <v>2727.1094332622401</v>
      </c>
      <c r="E180">
        <v>0</v>
      </c>
      <c r="F180">
        <f t="shared" si="19"/>
        <v>2727.1094332622401</v>
      </c>
      <c r="G180" s="10">
        <f t="shared" si="20"/>
        <v>2012.3232606876654</v>
      </c>
      <c r="H180" s="10">
        <f t="shared" si="21"/>
        <v>714.78617257457472</v>
      </c>
      <c r="I180" s="10">
        <f t="shared" si="22"/>
        <v>310870.75096616073</v>
      </c>
      <c r="J180">
        <f t="shared" si="23"/>
        <v>-2727.1094332622401</v>
      </c>
    </row>
    <row r="181" spans="1:10" x14ac:dyDescent="0.35">
      <c r="A181">
        <v>154</v>
      </c>
      <c r="B181">
        <v>7.7499999999999999E-2</v>
      </c>
      <c r="C181">
        <f t="shared" si="18"/>
        <v>6.4583333333333333E-3</v>
      </c>
      <c r="D181">
        <v>2727.1094332622401</v>
      </c>
      <c r="E181">
        <v>0</v>
      </c>
      <c r="F181">
        <f t="shared" si="19"/>
        <v>2727.1094332622401</v>
      </c>
      <c r="G181" s="10">
        <f t="shared" si="20"/>
        <v>2007.7069333231213</v>
      </c>
      <c r="H181" s="10">
        <f t="shared" si="21"/>
        <v>719.4024999391188</v>
      </c>
      <c r="I181" s="10">
        <f t="shared" si="22"/>
        <v>310151.34846622159</v>
      </c>
      <c r="J181">
        <f t="shared" si="23"/>
        <v>-2727.1094332622401</v>
      </c>
    </row>
    <row r="182" spans="1:10" x14ac:dyDescent="0.35">
      <c r="A182">
        <v>155</v>
      </c>
      <c r="B182">
        <v>7.7499999999999999E-2</v>
      </c>
      <c r="C182">
        <f t="shared" si="18"/>
        <v>6.4583333333333333E-3</v>
      </c>
      <c r="D182">
        <v>2727.1094332622401</v>
      </c>
      <c r="E182">
        <v>0</v>
      </c>
      <c r="F182">
        <f t="shared" si="19"/>
        <v>2727.1094332622401</v>
      </c>
      <c r="G182" s="10">
        <f t="shared" si="20"/>
        <v>2003.0607921776812</v>
      </c>
      <c r="H182" s="10">
        <f t="shared" si="21"/>
        <v>724.04864108455899</v>
      </c>
      <c r="I182" s="10">
        <f t="shared" si="22"/>
        <v>309427.29982513702</v>
      </c>
      <c r="J182">
        <f t="shared" si="23"/>
        <v>-2727.1094332622401</v>
      </c>
    </row>
    <row r="183" spans="1:10" x14ac:dyDescent="0.35">
      <c r="A183">
        <v>156</v>
      </c>
      <c r="B183">
        <v>7.7499999999999999E-2</v>
      </c>
      <c r="C183">
        <f t="shared" si="18"/>
        <v>6.4583333333333333E-3</v>
      </c>
      <c r="D183">
        <v>2727.1094332622401</v>
      </c>
      <c r="E183">
        <v>0</v>
      </c>
      <c r="F183">
        <f t="shared" si="19"/>
        <v>2727.1094332622401</v>
      </c>
      <c r="G183" s="10">
        <f t="shared" si="20"/>
        <v>1998.3846447040098</v>
      </c>
      <c r="H183" s="10">
        <f t="shared" si="21"/>
        <v>728.72478855823033</v>
      </c>
      <c r="I183" s="10">
        <f t="shared" si="22"/>
        <v>308698.57503657881</v>
      </c>
      <c r="J183">
        <f t="shared" si="23"/>
        <v>-2727.1094332622401</v>
      </c>
    </row>
    <row r="184" spans="1:10" x14ac:dyDescent="0.35">
      <c r="A184">
        <v>157</v>
      </c>
      <c r="B184">
        <v>7.7499999999999999E-2</v>
      </c>
      <c r="C184">
        <f t="shared" si="18"/>
        <v>6.4583333333333333E-3</v>
      </c>
      <c r="D184">
        <v>2727.1094332622401</v>
      </c>
      <c r="E184">
        <v>0</v>
      </c>
      <c r="F184">
        <f t="shared" si="19"/>
        <v>2727.1094332622401</v>
      </c>
      <c r="G184" s="10">
        <f t="shared" si="20"/>
        <v>1993.6782971112382</v>
      </c>
      <c r="H184" s="10">
        <f t="shared" si="21"/>
        <v>733.43113615100197</v>
      </c>
      <c r="I184" s="10">
        <f t="shared" si="22"/>
        <v>307965.14390042779</v>
      </c>
      <c r="J184">
        <f t="shared" si="23"/>
        <v>-2727.1094332622401</v>
      </c>
    </row>
    <row r="185" spans="1:10" x14ac:dyDescent="0.35">
      <c r="A185">
        <v>158</v>
      </c>
      <c r="B185">
        <v>7.7499999999999999E-2</v>
      </c>
      <c r="C185">
        <f t="shared" si="18"/>
        <v>6.4583333333333333E-3</v>
      </c>
      <c r="D185">
        <v>2727.1094332622401</v>
      </c>
      <c r="E185">
        <v>0</v>
      </c>
      <c r="F185">
        <f t="shared" si="19"/>
        <v>2727.1094332622401</v>
      </c>
      <c r="G185" s="10">
        <f t="shared" si="20"/>
        <v>1988.9415543569294</v>
      </c>
      <c r="H185" s="10">
        <f t="shared" si="21"/>
        <v>738.16787890531077</v>
      </c>
      <c r="I185" s="10">
        <f t="shared" si="22"/>
        <v>307226.97602152248</v>
      </c>
      <c r="J185">
        <f t="shared" si="23"/>
        <v>-2727.1094332622401</v>
      </c>
    </row>
    <row r="186" spans="1:10" x14ac:dyDescent="0.35">
      <c r="A186">
        <v>159</v>
      </c>
      <c r="B186">
        <v>7.7499999999999999E-2</v>
      </c>
      <c r="C186">
        <f t="shared" si="18"/>
        <v>6.4583333333333333E-3</v>
      </c>
      <c r="D186">
        <v>2727.1094332622401</v>
      </c>
      <c r="E186">
        <v>0</v>
      </c>
      <c r="F186">
        <f t="shared" si="19"/>
        <v>2727.1094332622401</v>
      </c>
      <c r="G186" s="10">
        <f t="shared" si="20"/>
        <v>1984.1742201389993</v>
      </c>
      <c r="H186" s="10">
        <f t="shared" si="21"/>
        <v>742.93521312324083</v>
      </c>
      <c r="I186" s="10">
        <f t="shared" si="22"/>
        <v>306484.04080839927</v>
      </c>
      <c r="J186">
        <f t="shared" si="23"/>
        <v>-2727.1094332622401</v>
      </c>
    </row>
    <row r="187" spans="1:10" x14ac:dyDescent="0.35">
      <c r="A187">
        <v>160</v>
      </c>
      <c r="B187">
        <v>7.7499999999999999E-2</v>
      </c>
      <c r="C187">
        <f t="shared" si="18"/>
        <v>6.4583333333333333E-3</v>
      </c>
      <c r="D187">
        <v>2727.1094332622401</v>
      </c>
      <c r="E187">
        <v>0</v>
      </c>
      <c r="F187">
        <f t="shared" si="19"/>
        <v>2727.1094332622401</v>
      </c>
      <c r="G187" s="10">
        <f t="shared" si="20"/>
        <v>1979.3760968875786</v>
      </c>
      <c r="H187" s="10">
        <f t="shared" si="21"/>
        <v>747.73333637466158</v>
      </c>
      <c r="I187" s="10">
        <f t="shared" si="22"/>
        <v>305736.30747202458</v>
      </c>
      <c r="J187">
        <f t="shared" si="23"/>
        <v>-2727.1094332622401</v>
      </c>
    </row>
    <row r="188" spans="1:10" x14ac:dyDescent="0.35">
      <c r="A188">
        <v>161</v>
      </c>
      <c r="B188">
        <v>7.7499999999999999E-2</v>
      </c>
      <c r="C188">
        <f t="shared" si="18"/>
        <v>6.4583333333333333E-3</v>
      </c>
      <c r="D188">
        <v>2727.1094332622401</v>
      </c>
      <c r="E188">
        <v>0</v>
      </c>
      <c r="F188">
        <f t="shared" si="19"/>
        <v>2727.1094332622401</v>
      </c>
      <c r="G188" s="10">
        <f t="shared" si="20"/>
        <v>1974.5469857568253</v>
      </c>
      <c r="H188" s="10">
        <f t="shared" si="21"/>
        <v>752.56244750541487</v>
      </c>
      <c r="I188" s="10">
        <f t="shared" si="22"/>
        <v>304983.74502451916</v>
      </c>
      <c r="J188">
        <f t="shared" si="23"/>
        <v>-2727.1094332622401</v>
      </c>
    </row>
    <row r="189" spans="1:10" x14ac:dyDescent="0.35">
      <c r="A189">
        <v>162</v>
      </c>
      <c r="B189">
        <v>7.7499999999999999E-2</v>
      </c>
      <c r="C189">
        <f t="shared" si="18"/>
        <v>6.4583333333333333E-3</v>
      </c>
      <c r="D189">
        <v>2727.1094332622401</v>
      </c>
      <c r="E189">
        <v>0</v>
      </c>
      <c r="F189">
        <f t="shared" si="19"/>
        <v>2727.1094332622401</v>
      </c>
      <c r="G189" s="10">
        <f t="shared" si="20"/>
        <v>1969.6866866166863</v>
      </c>
      <c r="H189" s="10">
        <f t="shared" si="21"/>
        <v>757.42274664555384</v>
      </c>
      <c r="I189" s="10">
        <f t="shared" si="22"/>
        <v>304226.32227787358</v>
      </c>
      <c r="J189">
        <f t="shared" si="23"/>
        <v>-2727.1094332622401</v>
      </c>
    </row>
    <row r="190" spans="1:10" x14ac:dyDescent="0.35">
      <c r="A190">
        <v>163</v>
      </c>
      <c r="B190">
        <v>7.7499999999999999E-2</v>
      </c>
      <c r="C190">
        <f t="shared" si="18"/>
        <v>6.4583333333333333E-3</v>
      </c>
      <c r="D190">
        <v>2727.1094332622401</v>
      </c>
      <c r="E190">
        <v>0</v>
      </c>
      <c r="F190">
        <f t="shared" si="19"/>
        <v>2727.1094332622401</v>
      </c>
      <c r="G190" s="10">
        <f t="shared" si="20"/>
        <v>1964.7949980446001</v>
      </c>
      <c r="H190" s="10">
        <f t="shared" si="21"/>
        <v>762.31443521764004</v>
      </c>
      <c r="I190" s="10">
        <f t="shared" si="22"/>
        <v>303464.00784265593</v>
      </c>
      <c r="J190">
        <f t="shared" si="23"/>
        <v>-2727.1094332622401</v>
      </c>
    </row>
    <row r="191" spans="1:10" x14ac:dyDescent="0.35">
      <c r="A191">
        <v>164</v>
      </c>
      <c r="B191">
        <v>7.7499999999999999E-2</v>
      </c>
      <c r="C191">
        <f t="shared" si="18"/>
        <v>6.4583333333333333E-3</v>
      </c>
      <c r="D191">
        <v>2727.1094332622401</v>
      </c>
      <c r="E191">
        <v>0</v>
      </c>
      <c r="F191">
        <f t="shared" si="19"/>
        <v>2727.1094332622401</v>
      </c>
      <c r="G191" s="10">
        <f t="shared" si="20"/>
        <v>1959.8717173171528</v>
      </c>
      <c r="H191" s="10">
        <f t="shared" si="21"/>
        <v>767.2377159450873</v>
      </c>
      <c r="I191" s="10">
        <f t="shared" si="22"/>
        <v>302696.77012671082</v>
      </c>
      <c r="J191">
        <f t="shared" si="23"/>
        <v>-2727.1094332622401</v>
      </c>
    </row>
    <row r="192" spans="1:10" x14ac:dyDescent="0.35">
      <c r="A192">
        <v>165</v>
      </c>
      <c r="B192">
        <v>7.7499999999999999E-2</v>
      </c>
      <c r="C192">
        <f t="shared" si="18"/>
        <v>6.4583333333333333E-3</v>
      </c>
      <c r="D192">
        <v>2727.1094332622401</v>
      </c>
      <c r="E192">
        <v>0</v>
      </c>
      <c r="F192">
        <f t="shared" si="19"/>
        <v>2727.1094332622401</v>
      </c>
      <c r="G192" s="10">
        <f t="shared" si="20"/>
        <v>1954.9166404016739</v>
      </c>
      <c r="H192" s="10">
        <f t="shared" si="21"/>
        <v>772.19279286056621</v>
      </c>
      <c r="I192" s="10">
        <f t="shared" si="22"/>
        <v>301924.57733385026</v>
      </c>
      <c r="J192">
        <f t="shared" si="23"/>
        <v>-2727.1094332622401</v>
      </c>
    </row>
    <row r="193" spans="1:10" x14ac:dyDescent="0.35">
      <c r="A193">
        <v>166</v>
      </c>
      <c r="B193">
        <v>7.7499999999999999E-2</v>
      </c>
      <c r="C193">
        <f t="shared" si="18"/>
        <v>6.4583333333333333E-3</v>
      </c>
      <c r="D193">
        <v>2727.1094332622401</v>
      </c>
      <c r="E193">
        <v>0</v>
      </c>
      <c r="F193">
        <f t="shared" si="19"/>
        <v>2727.1094332622401</v>
      </c>
      <c r="G193" s="10">
        <f t="shared" si="20"/>
        <v>1949.929561947783</v>
      </c>
      <c r="H193" s="10">
        <f t="shared" si="21"/>
        <v>777.17987131445716</v>
      </c>
      <c r="I193" s="10">
        <f t="shared" si="22"/>
        <v>301147.39746253582</v>
      </c>
      <c r="J193">
        <f t="shared" si="23"/>
        <v>-2727.1094332622401</v>
      </c>
    </row>
    <row r="194" spans="1:10" x14ac:dyDescent="0.35">
      <c r="A194">
        <v>167</v>
      </c>
      <c r="B194">
        <v>7.7499999999999999E-2</v>
      </c>
      <c r="C194">
        <f t="shared" si="18"/>
        <v>6.4583333333333333E-3</v>
      </c>
      <c r="D194">
        <v>2727.1094332622401</v>
      </c>
      <c r="E194">
        <v>0</v>
      </c>
      <c r="F194">
        <f t="shared" si="19"/>
        <v>2727.1094332622401</v>
      </c>
      <c r="G194" s="10">
        <f t="shared" si="20"/>
        <v>1944.9102752788772</v>
      </c>
      <c r="H194" s="10">
        <f t="shared" si="21"/>
        <v>782.19915798336297</v>
      </c>
      <c r="I194" s="10">
        <f t="shared" si="22"/>
        <v>300365.19830455247</v>
      </c>
      <c r="J194">
        <f t="shared" si="23"/>
        <v>-2727.1094332622401</v>
      </c>
    </row>
    <row r="195" spans="1:10" x14ac:dyDescent="0.35">
      <c r="A195">
        <v>168</v>
      </c>
      <c r="B195">
        <v>7.7499999999999999E-2</v>
      </c>
      <c r="C195">
        <f t="shared" si="18"/>
        <v>6.4583333333333333E-3</v>
      </c>
      <c r="D195">
        <v>2727.1094332622401</v>
      </c>
      <c r="E195">
        <v>0</v>
      </c>
      <c r="F195">
        <f t="shared" si="19"/>
        <v>2727.1094332622401</v>
      </c>
      <c r="G195" s="10">
        <f t="shared" si="20"/>
        <v>1939.8585723835681</v>
      </c>
      <c r="H195" s="10">
        <f t="shared" si="21"/>
        <v>787.25086087867203</v>
      </c>
      <c r="I195" s="10">
        <f t="shared" si="22"/>
        <v>299577.94744367379</v>
      </c>
      <c r="J195">
        <f t="shared" si="23"/>
        <v>-2727.1094332622401</v>
      </c>
    </row>
    <row r="196" spans="1:10" x14ac:dyDescent="0.35">
      <c r="A196">
        <v>169</v>
      </c>
      <c r="B196">
        <v>7.7499999999999999E-2</v>
      </c>
      <c r="C196">
        <f t="shared" si="18"/>
        <v>6.4583333333333333E-3</v>
      </c>
      <c r="D196">
        <v>2727.1094332622401</v>
      </c>
      <c r="E196">
        <v>0</v>
      </c>
      <c r="F196">
        <f t="shared" si="19"/>
        <v>2727.1094332622401</v>
      </c>
      <c r="G196" s="10">
        <f t="shared" si="20"/>
        <v>1934.7742439070598</v>
      </c>
      <c r="H196" s="10">
        <f t="shared" si="21"/>
        <v>792.33518935518032</v>
      </c>
      <c r="I196" s="10">
        <f t="shared" si="22"/>
        <v>298785.61225431861</v>
      </c>
      <c r="J196">
        <f t="shared" si="23"/>
        <v>-2727.1094332622401</v>
      </c>
    </row>
    <row r="197" spans="1:10" x14ac:dyDescent="0.35">
      <c r="A197">
        <v>170</v>
      </c>
      <c r="B197">
        <v>7.7499999999999999E-2</v>
      </c>
      <c r="C197">
        <f t="shared" si="18"/>
        <v>6.4583333333333333E-3</v>
      </c>
      <c r="D197">
        <v>2727.1094332622401</v>
      </c>
      <c r="E197">
        <v>0</v>
      </c>
      <c r="F197">
        <f t="shared" si="19"/>
        <v>2727.1094332622401</v>
      </c>
      <c r="G197" s="10">
        <f t="shared" si="20"/>
        <v>1929.6570791424742</v>
      </c>
      <c r="H197" s="10">
        <f t="shared" si="21"/>
        <v>797.45235411976591</v>
      </c>
      <c r="I197" s="10">
        <f t="shared" si="22"/>
        <v>297988.15990019887</v>
      </c>
      <c r="J197">
        <f t="shared" si="23"/>
        <v>-2727.1094332622401</v>
      </c>
    </row>
    <row r="198" spans="1:10" x14ac:dyDescent="0.35">
      <c r="A198">
        <v>171</v>
      </c>
      <c r="B198">
        <v>7.7499999999999999E-2</v>
      </c>
      <c r="C198">
        <f t="shared" si="18"/>
        <v>6.4583333333333333E-3</v>
      </c>
      <c r="D198">
        <v>2727.1094332622401</v>
      </c>
      <c r="E198">
        <v>0</v>
      </c>
      <c r="F198">
        <f t="shared" si="19"/>
        <v>2727.1094332622401</v>
      </c>
      <c r="G198" s="10">
        <f t="shared" si="20"/>
        <v>1924.5068660221177</v>
      </c>
      <c r="H198" s="10">
        <f t="shared" si="21"/>
        <v>802.60256724012243</v>
      </c>
      <c r="I198" s="10">
        <f t="shared" si="22"/>
        <v>297185.55733295874</v>
      </c>
      <c r="J198">
        <f t="shared" si="23"/>
        <v>-2727.1094332622401</v>
      </c>
    </row>
    <row r="199" spans="1:10" x14ac:dyDescent="0.35">
      <c r="A199">
        <v>172</v>
      </c>
      <c r="B199">
        <v>7.7499999999999999E-2</v>
      </c>
      <c r="C199">
        <f t="shared" si="18"/>
        <v>6.4583333333333333E-3</v>
      </c>
      <c r="D199">
        <v>2727.1094332622401</v>
      </c>
      <c r="E199">
        <v>0</v>
      </c>
      <c r="F199">
        <f t="shared" si="19"/>
        <v>2727.1094332622401</v>
      </c>
      <c r="G199" s="10">
        <f t="shared" si="20"/>
        <v>1919.3233911086918</v>
      </c>
      <c r="H199" s="10">
        <f t="shared" si="21"/>
        <v>807.78604215354835</v>
      </c>
      <c r="I199" s="10">
        <f t="shared" si="22"/>
        <v>296377.77129080519</v>
      </c>
      <c r="J199">
        <f t="shared" si="23"/>
        <v>-2727.1094332622401</v>
      </c>
    </row>
    <row r="200" spans="1:10" x14ac:dyDescent="0.35">
      <c r="A200">
        <v>173</v>
      </c>
      <c r="B200">
        <v>7.7499999999999999E-2</v>
      </c>
      <c r="C200">
        <f t="shared" si="18"/>
        <v>6.4583333333333333E-3</v>
      </c>
      <c r="D200">
        <v>2727.1094332622401</v>
      </c>
      <c r="E200">
        <v>0</v>
      </c>
      <c r="F200">
        <f t="shared" si="19"/>
        <v>2727.1094332622401</v>
      </c>
      <c r="G200" s="10">
        <f t="shared" si="20"/>
        <v>1914.1064395864503</v>
      </c>
      <c r="H200" s="10">
        <f t="shared" si="21"/>
        <v>813.00299367578987</v>
      </c>
      <c r="I200" s="10">
        <f t="shared" si="22"/>
        <v>295564.76829712943</v>
      </c>
      <c r="J200">
        <f t="shared" si="23"/>
        <v>-2727.1094332622401</v>
      </c>
    </row>
    <row r="201" spans="1:10" x14ac:dyDescent="0.35">
      <c r="A201">
        <v>174</v>
      </c>
      <c r="B201">
        <v>7.7499999999999999E-2</v>
      </c>
      <c r="C201">
        <f t="shared" si="18"/>
        <v>6.4583333333333333E-3</v>
      </c>
      <c r="D201">
        <v>2727.1094332622401</v>
      </c>
      <c r="E201">
        <v>0</v>
      </c>
      <c r="F201">
        <f t="shared" si="19"/>
        <v>2727.1094332622401</v>
      </c>
      <c r="G201" s="10">
        <f t="shared" si="20"/>
        <v>1908.8557952522942</v>
      </c>
      <c r="H201" s="10">
        <f t="shared" si="21"/>
        <v>818.25363800994592</v>
      </c>
      <c r="I201" s="10">
        <f t="shared" si="22"/>
        <v>294746.51465911948</v>
      </c>
      <c r="J201">
        <f t="shared" si="23"/>
        <v>-2727.1094332622401</v>
      </c>
    </row>
    <row r="202" spans="1:10" x14ac:dyDescent="0.35">
      <c r="A202">
        <v>175</v>
      </c>
      <c r="B202">
        <v>7.7499999999999999E-2</v>
      </c>
      <c r="C202">
        <f t="shared" si="18"/>
        <v>6.4583333333333333E-3</v>
      </c>
      <c r="D202">
        <v>2727.1094332622401</v>
      </c>
      <c r="E202">
        <v>0</v>
      </c>
      <c r="F202">
        <f t="shared" si="19"/>
        <v>2727.1094332622401</v>
      </c>
      <c r="G202" s="10">
        <f t="shared" si="20"/>
        <v>1903.5712405068132</v>
      </c>
      <c r="H202" s="10">
        <f t="shared" si="21"/>
        <v>823.53819275542696</v>
      </c>
      <c r="I202" s="10">
        <f t="shared" si="22"/>
        <v>293922.97646636405</v>
      </c>
      <c r="J202">
        <f t="shared" si="23"/>
        <v>-2727.1094332622401</v>
      </c>
    </row>
    <row r="203" spans="1:10" x14ac:dyDescent="0.35">
      <c r="A203">
        <v>176</v>
      </c>
      <c r="B203">
        <v>7.7499999999999999E-2</v>
      </c>
      <c r="C203">
        <f t="shared" si="18"/>
        <v>6.4583333333333333E-3</v>
      </c>
      <c r="D203">
        <v>2727.1094332622401</v>
      </c>
      <c r="E203">
        <v>0</v>
      </c>
      <c r="F203">
        <f t="shared" si="19"/>
        <v>2727.1094332622401</v>
      </c>
      <c r="G203" s="10">
        <f t="shared" si="20"/>
        <v>1898.2525563452677</v>
      </c>
      <c r="H203" s="10">
        <f t="shared" si="21"/>
        <v>828.8568769169724</v>
      </c>
      <c r="I203" s="10">
        <f t="shared" si="22"/>
        <v>293094.1195894471</v>
      </c>
      <c r="J203">
        <f t="shared" si="23"/>
        <v>-2727.1094332622401</v>
      </c>
    </row>
    <row r="204" spans="1:10" x14ac:dyDescent="0.35">
      <c r="A204">
        <v>177</v>
      </c>
      <c r="B204">
        <v>7.7499999999999999E-2</v>
      </c>
      <c r="C204">
        <f t="shared" si="18"/>
        <v>6.4583333333333333E-3</v>
      </c>
      <c r="D204">
        <v>2727.1094332622401</v>
      </c>
      <c r="E204">
        <v>0</v>
      </c>
      <c r="F204">
        <f t="shared" si="19"/>
        <v>2727.1094332622401</v>
      </c>
      <c r="G204" s="10">
        <f t="shared" si="20"/>
        <v>1892.8995223485126</v>
      </c>
      <c r="H204" s="10">
        <f t="shared" si="21"/>
        <v>834.20991091372753</v>
      </c>
      <c r="I204" s="10">
        <f t="shared" si="22"/>
        <v>292259.90967853338</v>
      </c>
      <c r="J204">
        <f t="shared" si="23"/>
        <v>-2727.1094332622401</v>
      </c>
    </row>
    <row r="205" spans="1:10" x14ac:dyDescent="0.35">
      <c r="A205">
        <v>178</v>
      </c>
      <c r="B205">
        <v>7.7499999999999999E-2</v>
      </c>
      <c r="C205">
        <f t="shared" si="18"/>
        <v>6.4583333333333333E-3</v>
      </c>
      <c r="D205">
        <v>2727.1094332622401</v>
      </c>
      <c r="E205">
        <v>0</v>
      </c>
      <c r="F205">
        <f t="shared" si="19"/>
        <v>2727.1094332622401</v>
      </c>
      <c r="G205" s="10">
        <f t="shared" si="20"/>
        <v>1887.5119166738614</v>
      </c>
      <c r="H205" s="10">
        <f t="shared" si="21"/>
        <v>839.59751658837877</v>
      </c>
      <c r="I205" s="10">
        <f t="shared" si="22"/>
        <v>291420.31216194498</v>
      </c>
      <c r="J205">
        <f t="shared" si="23"/>
        <v>-2727.1094332622401</v>
      </c>
    </row>
    <row r="206" spans="1:10" x14ac:dyDescent="0.35">
      <c r="A206">
        <v>179</v>
      </c>
      <c r="B206">
        <v>7.7499999999999999E-2</v>
      </c>
      <c r="C206">
        <f t="shared" si="18"/>
        <v>6.4583333333333333E-3</v>
      </c>
      <c r="D206">
        <v>2727.1094332622401</v>
      </c>
      <c r="E206">
        <v>0</v>
      </c>
      <c r="F206">
        <f t="shared" si="19"/>
        <v>2727.1094332622401</v>
      </c>
      <c r="G206" s="10">
        <f t="shared" si="20"/>
        <v>1882.0895160458947</v>
      </c>
      <c r="H206" s="10">
        <f t="shared" si="21"/>
        <v>845.01991721634545</v>
      </c>
      <c r="I206" s="10">
        <f t="shared" si="22"/>
        <v>290575.29224472865</v>
      </c>
      <c r="J206">
        <f t="shared" si="23"/>
        <v>-2727.1094332622401</v>
      </c>
    </row>
    <row r="207" spans="1:10" x14ac:dyDescent="0.35">
      <c r="A207">
        <v>180</v>
      </c>
      <c r="B207">
        <v>7.7499999999999999E-2</v>
      </c>
      <c r="C207">
        <f t="shared" si="18"/>
        <v>6.4583333333333333E-3</v>
      </c>
      <c r="D207">
        <v>2727.1094332622401</v>
      </c>
      <c r="E207">
        <v>0</v>
      </c>
      <c r="F207">
        <f t="shared" si="19"/>
        <v>2727.1094332622401</v>
      </c>
      <c r="G207" s="10">
        <f t="shared" si="20"/>
        <v>1876.632095747206</v>
      </c>
      <c r="H207" s="10">
        <f t="shared" si="21"/>
        <v>850.47733751503415</v>
      </c>
      <c r="I207" s="10">
        <f t="shared" si="22"/>
        <v>289724.81490721361</v>
      </c>
      <c r="J207">
        <f t="shared" si="23"/>
        <v>-2727.1094332622401</v>
      </c>
    </row>
    <row r="208" spans="1:10" x14ac:dyDescent="0.35">
      <c r="A208">
        <v>181</v>
      </c>
      <c r="B208">
        <v>7.7499999999999999E-2</v>
      </c>
      <c r="C208">
        <f t="shared" si="18"/>
        <v>6.4583333333333333E-3</v>
      </c>
      <c r="D208">
        <v>2727.1094332622401</v>
      </c>
      <c r="E208">
        <v>0</v>
      </c>
      <c r="F208">
        <f t="shared" si="19"/>
        <v>2727.1094332622401</v>
      </c>
      <c r="G208" s="10">
        <f t="shared" si="20"/>
        <v>1871.139429609088</v>
      </c>
      <c r="H208" s="10">
        <f t="shared" si="21"/>
        <v>855.97000365315216</v>
      </c>
      <c r="I208" s="10">
        <f t="shared" si="22"/>
        <v>288868.84490356047</v>
      </c>
      <c r="J208">
        <f t="shared" si="23"/>
        <v>-2727.1094332622401</v>
      </c>
    </row>
    <row r="209" spans="1:10" x14ac:dyDescent="0.35">
      <c r="A209">
        <v>182</v>
      </c>
      <c r="B209">
        <v>7.7499999999999999E-2</v>
      </c>
      <c r="C209">
        <f t="shared" si="18"/>
        <v>6.4583333333333333E-3</v>
      </c>
      <c r="D209">
        <v>2727.1094332622401</v>
      </c>
      <c r="E209">
        <v>0</v>
      </c>
      <c r="F209">
        <f t="shared" si="19"/>
        <v>2727.1094332622401</v>
      </c>
      <c r="G209" s="10">
        <f t="shared" si="20"/>
        <v>1865.6112900021615</v>
      </c>
      <c r="H209" s="10">
        <f t="shared" si="21"/>
        <v>861.49814326007868</v>
      </c>
      <c r="I209" s="10">
        <f t="shared" si="22"/>
        <v>288007.3467603004</v>
      </c>
      <c r="J209">
        <f t="shared" si="23"/>
        <v>-2727.1094332622401</v>
      </c>
    </row>
    <row r="210" spans="1:10" x14ac:dyDescent="0.35">
      <c r="A210">
        <v>183</v>
      </c>
      <c r="B210">
        <v>7.7499999999999999E-2</v>
      </c>
      <c r="C210">
        <f t="shared" si="18"/>
        <v>6.4583333333333333E-3</v>
      </c>
      <c r="D210">
        <v>2727.1094332622401</v>
      </c>
      <c r="E210">
        <v>0</v>
      </c>
      <c r="F210">
        <f t="shared" si="19"/>
        <v>2727.1094332622401</v>
      </c>
      <c r="G210" s="10">
        <f t="shared" si="20"/>
        <v>1860.04744782694</v>
      </c>
      <c r="H210" s="10">
        <f t="shared" si="21"/>
        <v>867.06198543530013</v>
      </c>
      <c r="I210" s="10">
        <f t="shared" si="22"/>
        <v>287140.28477486508</v>
      </c>
      <c r="J210">
        <f t="shared" si="23"/>
        <v>-2727.1094332622401</v>
      </c>
    </row>
    <row r="211" spans="1:10" x14ac:dyDescent="0.35">
      <c r="A211">
        <v>184</v>
      </c>
      <c r="B211">
        <v>7.7499999999999999E-2</v>
      </c>
      <c r="C211">
        <f t="shared" si="18"/>
        <v>6.4583333333333333E-3</v>
      </c>
      <c r="D211">
        <v>2727.1094332622401</v>
      </c>
      <c r="E211">
        <v>0</v>
      </c>
      <c r="F211">
        <f t="shared" si="19"/>
        <v>2727.1094332622401</v>
      </c>
      <c r="G211" s="10">
        <f t="shared" si="20"/>
        <v>1854.4476725043369</v>
      </c>
      <c r="H211" s="10">
        <f t="shared" si="21"/>
        <v>872.66176075790327</v>
      </c>
      <c r="I211" s="10">
        <f t="shared" si="22"/>
        <v>286267.62301410717</v>
      </c>
      <c r="J211">
        <f t="shared" si="23"/>
        <v>-2727.1094332622401</v>
      </c>
    </row>
    <row r="212" spans="1:10" x14ac:dyDescent="0.35">
      <c r="A212">
        <v>185</v>
      </c>
      <c r="B212">
        <v>7.7499999999999999E-2</v>
      </c>
      <c r="C212">
        <f t="shared" si="18"/>
        <v>6.4583333333333333E-3</v>
      </c>
      <c r="D212">
        <v>2727.1094332622401</v>
      </c>
      <c r="E212">
        <v>0</v>
      </c>
      <c r="F212">
        <f t="shared" si="19"/>
        <v>2727.1094332622401</v>
      </c>
      <c r="G212" s="10">
        <f t="shared" si="20"/>
        <v>1848.8117319661087</v>
      </c>
      <c r="H212" s="10">
        <f t="shared" si="21"/>
        <v>878.29770129613144</v>
      </c>
      <c r="I212" s="10">
        <f t="shared" si="22"/>
        <v>285389.32531281107</v>
      </c>
      <c r="J212">
        <f t="shared" si="23"/>
        <v>-2727.1094332622401</v>
      </c>
    </row>
    <row r="213" spans="1:10" x14ac:dyDescent="0.35">
      <c r="A213">
        <v>186</v>
      </c>
      <c r="B213">
        <v>7.7499999999999999E-2</v>
      </c>
      <c r="C213">
        <f t="shared" si="18"/>
        <v>6.4583333333333333E-3</v>
      </c>
      <c r="D213">
        <v>2727.1094332622401</v>
      </c>
      <c r="E213">
        <v>0</v>
      </c>
      <c r="F213">
        <f t="shared" si="19"/>
        <v>2727.1094332622401</v>
      </c>
      <c r="G213" s="10">
        <f t="shared" si="20"/>
        <v>1843.1393926452381</v>
      </c>
      <c r="H213" s="10">
        <f t="shared" si="21"/>
        <v>883.97004061700204</v>
      </c>
      <c r="I213" s="10">
        <f t="shared" si="22"/>
        <v>284505.35527219408</v>
      </c>
      <c r="J213">
        <f t="shared" si="23"/>
        <v>-2727.1094332622401</v>
      </c>
    </row>
    <row r="214" spans="1:10" x14ac:dyDescent="0.35">
      <c r="A214">
        <v>187</v>
      </c>
      <c r="B214">
        <v>7.7499999999999999E-2</v>
      </c>
      <c r="C214">
        <f t="shared" si="18"/>
        <v>6.4583333333333333E-3</v>
      </c>
      <c r="D214">
        <v>2727.1094332622401</v>
      </c>
      <c r="E214">
        <v>0</v>
      </c>
      <c r="F214">
        <f t="shared" si="19"/>
        <v>2727.1094332622401</v>
      </c>
      <c r="G214" s="10">
        <f t="shared" si="20"/>
        <v>1837.4304194662534</v>
      </c>
      <c r="H214" s="10">
        <f t="shared" si="21"/>
        <v>889.67901379598675</v>
      </c>
      <c r="I214" s="10">
        <f t="shared" si="22"/>
        <v>283615.6762583981</v>
      </c>
      <c r="J214">
        <f t="shared" si="23"/>
        <v>-2727.1094332622401</v>
      </c>
    </row>
    <row r="215" spans="1:10" x14ac:dyDescent="0.35">
      <c r="A215">
        <v>188</v>
      </c>
      <c r="B215">
        <v>7.7499999999999999E-2</v>
      </c>
      <c r="C215">
        <f t="shared" si="18"/>
        <v>6.4583333333333333E-3</v>
      </c>
      <c r="D215">
        <v>2727.1094332622401</v>
      </c>
      <c r="E215">
        <v>0</v>
      </c>
      <c r="F215">
        <f t="shared" si="19"/>
        <v>2727.1094332622401</v>
      </c>
      <c r="G215" s="10">
        <f t="shared" si="20"/>
        <v>1831.6845758354877</v>
      </c>
      <c r="H215" s="10">
        <f t="shared" si="21"/>
        <v>895.4248574267524</v>
      </c>
      <c r="I215" s="10">
        <f t="shared" si="22"/>
        <v>282720.25140097138</v>
      </c>
      <c r="J215">
        <f t="shared" si="23"/>
        <v>-2727.1094332622401</v>
      </c>
    </row>
    <row r="216" spans="1:10" x14ac:dyDescent="0.35">
      <c r="A216">
        <v>189</v>
      </c>
      <c r="B216">
        <v>7.7499999999999999E-2</v>
      </c>
      <c r="C216">
        <f t="shared" si="18"/>
        <v>6.4583333333333333E-3</v>
      </c>
      <c r="D216">
        <v>2727.1094332622401</v>
      </c>
      <c r="E216">
        <v>0</v>
      </c>
      <c r="F216">
        <f t="shared" si="19"/>
        <v>2727.1094332622401</v>
      </c>
      <c r="G216" s="10">
        <f t="shared" si="20"/>
        <v>1825.9016236312734</v>
      </c>
      <c r="H216" s="10">
        <f t="shared" si="21"/>
        <v>901.20780963096672</v>
      </c>
      <c r="I216" s="10">
        <f t="shared" si="22"/>
        <v>281819.04359134042</v>
      </c>
      <c r="J216">
        <f t="shared" si="23"/>
        <v>-2727.1094332622401</v>
      </c>
    </row>
    <row r="217" spans="1:10" x14ac:dyDescent="0.35">
      <c r="A217">
        <v>190</v>
      </c>
      <c r="B217">
        <v>7.7499999999999999E-2</v>
      </c>
      <c r="C217">
        <f t="shared" si="18"/>
        <v>6.4583333333333333E-3</v>
      </c>
      <c r="D217">
        <v>2727.1094332622401</v>
      </c>
      <c r="E217">
        <v>0</v>
      </c>
      <c r="F217">
        <f t="shared" si="19"/>
        <v>2727.1094332622401</v>
      </c>
      <c r="G217" s="10">
        <f t="shared" si="20"/>
        <v>1820.0813231940735</v>
      </c>
      <c r="H217" s="10">
        <f t="shared" si="21"/>
        <v>907.0281100681666</v>
      </c>
      <c r="I217" s="10">
        <f t="shared" si="22"/>
        <v>280912.01548127225</v>
      </c>
      <c r="J217">
        <f t="shared" si="23"/>
        <v>-2727.1094332622401</v>
      </c>
    </row>
    <row r="218" spans="1:10" x14ac:dyDescent="0.35">
      <c r="A218">
        <v>191</v>
      </c>
      <c r="B218">
        <v>7.7499999999999999E-2</v>
      </c>
      <c r="C218">
        <f t="shared" si="18"/>
        <v>6.4583333333333333E-3</v>
      </c>
      <c r="D218">
        <v>2727.1094332622401</v>
      </c>
      <c r="E218">
        <v>0</v>
      </c>
      <c r="F218">
        <f t="shared" si="19"/>
        <v>2727.1094332622401</v>
      </c>
      <c r="G218" s="10">
        <f t="shared" si="20"/>
        <v>1814.22343331655</v>
      </c>
      <c r="H218" s="10">
        <f t="shared" si="21"/>
        <v>912.88599994569017</v>
      </c>
      <c r="I218" s="10">
        <f t="shared" si="22"/>
        <v>279999.12948132656</v>
      </c>
      <c r="J218">
        <f t="shared" si="23"/>
        <v>-2727.1094332622401</v>
      </c>
    </row>
    <row r="219" spans="1:10" x14ac:dyDescent="0.35">
      <c r="A219">
        <v>192</v>
      </c>
      <c r="B219">
        <v>7.7499999999999999E-2</v>
      </c>
      <c r="C219">
        <f t="shared" si="18"/>
        <v>6.4583333333333333E-3</v>
      </c>
      <c r="D219">
        <v>2727.1094332622401</v>
      </c>
      <c r="E219">
        <v>0</v>
      </c>
      <c r="F219">
        <f t="shared" si="19"/>
        <v>2727.1094332622401</v>
      </c>
      <c r="G219" s="10">
        <f t="shared" si="20"/>
        <v>1808.3277112335672</v>
      </c>
      <c r="H219" s="10">
        <f t="shared" si="21"/>
        <v>918.7817220286729</v>
      </c>
      <c r="I219" s="10">
        <f t="shared" si="22"/>
        <v>279080.34775929787</v>
      </c>
      <c r="J219">
        <f t="shared" si="23"/>
        <v>-2727.1094332622401</v>
      </c>
    </row>
    <row r="220" spans="1:10" x14ac:dyDescent="0.35">
      <c r="A220">
        <v>193</v>
      </c>
      <c r="B220">
        <v>7.7499999999999999E-2</v>
      </c>
      <c r="C220">
        <f t="shared" si="18"/>
        <v>6.4583333333333333E-3</v>
      </c>
      <c r="D220">
        <v>2727.1094332622401</v>
      </c>
      <c r="E220">
        <v>0</v>
      </c>
      <c r="F220">
        <f t="shared" si="19"/>
        <v>2727.1094332622401</v>
      </c>
      <c r="G220" s="10">
        <f t="shared" si="20"/>
        <v>1802.393912612132</v>
      </c>
      <c r="H220" s="10">
        <f t="shared" si="21"/>
        <v>924.71552065010815</v>
      </c>
      <c r="I220" s="10">
        <f t="shared" si="22"/>
        <v>278155.63223864778</v>
      </c>
      <c r="J220">
        <f t="shared" si="23"/>
        <v>-2727.1094332622401</v>
      </c>
    </row>
    <row r="221" spans="1:10" x14ac:dyDescent="0.35">
      <c r="A221">
        <v>194</v>
      </c>
      <c r="B221">
        <v>7.7499999999999999E-2</v>
      </c>
      <c r="C221">
        <f t="shared" si="18"/>
        <v>6.4583333333333333E-3</v>
      </c>
      <c r="D221">
        <v>2727.1094332622401</v>
      </c>
      <c r="E221">
        <v>0</v>
      </c>
      <c r="F221">
        <f t="shared" si="19"/>
        <v>2727.1094332622401</v>
      </c>
      <c r="G221" s="10">
        <f t="shared" si="20"/>
        <v>1796.4217915412669</v>
      </c>
      <c r="H221" s="10">
        <f t="shared" si="21"/>
        <v>930.68764172097326</v>
      </c>
      <c r="I221" s="10">
        <f t="shared" si="22"/>
        <v>277224.9445969268</v>
      </c>
      <c r="J221">
        <f t="shared" si="23"/>
        <v>-2727.1094332622401</v>
      </c>
    </row>
    <row r="222" spans="1:10" x14ac:dyDescent="0.35">
      <c r="A222">
        <v>195</v>
      </c>
      <c r="B222">
        <v>7.7499999999999999E-2</v>
      </c>
      <c r="C222">
        <f t="shared" si="18"/>
        <v>6.4583333333333333E-3</v>
      </c>
      <c r="D222">
        <v>2727.1094332622401</v>
      </c>
      <c r="E222">
        <v>0</v>
      </c>
      <c r="F222">
        <f t="shared" si="19"/>
        <v>2727.1094332622401</v>
      </c>
      <c r="G222" s="10">
        <f t="shared" si="20"/>
        <v>1790.411100521819</v>
      </c>
      <c r="H222" s="10">
        <f t="shared" si="21"/>
        <v>936.69833274042116</v>
      </c>
      <c r="I222" s="10">
        <f t="shared" si="22"/>
        <v>276288.2462641864</v>
      </c>
      <c r="J222">
        <f t="shared" si="23"/>
        <v>-2727.1094332622401</v>
      </c>
    </row>
    <row r="223" spans="1:10" x14ac:dyDescent="0.35">
      <c r="A223">
        <v>196</v>
      </c>
      <c r="B223">
        <v>7.7499999999999999E-2</v>
      </c>
      <c r="C223">
        <f t="shared" si="18"/>
        <v>6.4583333333333333E-3</v>
      </c>
      <c r="D223">
        <v>2727.1094332622401</v>
      </c>
      <c r="E223">
        <v>0</v>
      </c>
      <c r="F223">
        <f t="shared" si="19"/>
        <v>2727.1094332622401</v>
      </c>
      <c r="G223" s="10">
        <f t="shared" si="20"/>
        <v>1784.3615904562039</v>
      </c>
      <c r="H223" s="10">
        <f t="shared" si="21"/>
        <v>942.74784280603626</v>
      </c>
      <c r="I223" s="10">
        <f t="shared" si="22"/>
        <v>275345.49842138035</v>
      </c>
      <c r="J223">
        <f t="shared" si="23"/>
        <v>-2727.1094332622401</v>
      </c>
    </row>
    <row r="224" spans="1:10" x14ac:dyDescent="0.35">
      <c r="A224">
        <v>197</v>
      </c>
      <c r="B224">
        <v>7.7499999999999999E-2</v>
      </c>
      <c r="C224">
        <f t="shared" ref="C224:C287" si="24">B224/12</f>
        <v>6.4583333333333333E-3</v>
      </c>
      <c r="D224">
        <v>2727.1094332622401</v>
      </c>
      <c r="E224">
        <v>0</v>
      </c>
      <c r="F224">
        <f t="shared" ref="F224:F287" si="25">D224+E224</f>
        <v>2727.1094332622401</v>
      </c>
      <c r="G224" s="10">
        <f t="shared" ref="G224:G287" si="26">C224*I223</f>
        <v>1778.2730106380814</v>
      </c>
      <c r="H224" s="10">
        <f t="shared" ref="H224:H287" si="27">D224-G224</f>
        <v>948.83642262415879</v>
      </c>
      <c r="I224" s="10">
        <f t="shared" ref="I224:I287" si="28">I223-H224</f>
        <v>274396.66199875617</v>
      </c>
      <c r="J224">
        <f t="shared" ref="J224:J287" si="29">-F224</f>
        <v>-2727.1094332622401</v>
      </c>
    </row>
    <row r="225" spans="1:10" x14ac:dyDescent="0.35">
      <c r="A225">
        <v>198</v>
      </c>
      <c r="B225">
        <v>7.7499999999999999E-2</v>
      </c>
      <c r="C225">
        <f t="shared" si="24"/>
        <v>6.4583333333333333E-3</v>
      </c>
      <c r="D225">
        <v>2727.1094332622401</v>
      </c>
      <c r="E225">
        <v>0</v>
      </c>
      <c r="F225">
        <f t="shared" si="25"/>
        <v>2727.1094332622401</v>
      </c>
      <c r="G225" s="10">
        <f t="shared" si="26"/>
        <v>1772.1451087419669</v>
      </c>
      <c r="H225" s="10">
        <f t="shared" si="27"/>
        <v>954.96432452027329</v>
      </c>
      <c r="I225" s="10">
        <f t="shared" si="28"/>
        <v>273441.69767423591</v>
      </c>
      <c r="J225">
        <f t="shared" si="29"/>
        <v>-2727.1094332622401</v>
      </c>
    </row>
    <row r="226" spans="1:10" x14ac:dyDescent="0.35">
      <c r="A226">
        <v>199</v>
      </c>
      <c r="B226">
        <v>7.7499999999999999E-2</v>
      </c>
      <c r="C226">
        <f t="shared" si="24"/>
        <v>6.4583333333333333E-3</v>
      </c>
      <c r="D226">
        <v>2727.1094332622401</v>
      </c>
      <c r="E226">
        <v>0</v>
      </c>
      <c r="F226">
        <f t="shared" si="25"/>
        <v>2727.1094332622401</v>
      </c>
      <c r="G226" s="10">
        <f t="shared" si="26"/>
        <v>1765.9776308127737</v>
      </c>
      <c r="H226" s="10">
        <f t="shared" si="27"/>
        <v>961.13180244946648</v>
      </c>
      <c r="I226" s="10">
        <f t="shared" si="28"/>
        <v>272480.56587178644</v>
      </c>
      <c r="J226">
        <f t="shared" si="29"/>
        <v>-2727.1094332622401</v>
      </c>
    </row>
    <row r="227" spans="1:10" x14ac:dyDescent="0.35">
      <c r="A227">
        <v>200</v>
      </c>
      <c r="B227">
        <v>7.7499999999999999E-2</v>
      </c>
      <c r="C227">
        <f t="shared" si="24"/>
        <v>6.4583333333333333E-3</v>
      </c>
      <c r="D227">
        <v>2727.1094332622401</v>
      </c>
      <c r="E227">
        <v>0</v>
      </c>
      <c r="F227">
        <f t="shared" si="25"/>
        <v>2727.1094332622401</v>
      </c>
      <c r="G227" s="10">
        <f t="shared" si="26"/>
        <v>1759.7703212552874</v>
      </c>
      <c r="H227" s="10">
        <f t="shared" si="27"/>
        <v>967.33911200695275</v>
      </c>
      <c r="I227" s="10">
        <f t="shared" si="28"/>
        <v>271513.2267597795</v>
      </c>
      <c r="J227">
        <f t="shared" si="29"/>
        <v>-2727.1094332622401</v>
      </c>
    </row>
    <row r="228" spans="1:10" x14ac:dyDescent="0.35">
      <c r="A228">
        <v>201</v>
      </c>
      <c r="B228">
        <v>7.7499999999999999E-2</v>
      </c>
      <c r="C228">
        <f t="shared" si="24"/>
        <v>6.4583333333333333E-3</v>
      </c>
      <c r="D228">
        <v>2727.1094332622401</v>
      </c>
      <c r="E228">
        <v>0</v>
      </c>
      <c r="F228">
        <f t="shared" si="25"/>
        <v>2727.1094332622401</v>
      </c>
      <c r="G228" s="10">
        <f t="shared" si="26"/>
        <v>1753.522922823576</v>
      </c>
      <c r="H228" s="10">
        <f t="shared" si="27"/>
        <v>973.58651043866416</v>
      </c>
      <c r="I228" s="10">
        <f t="shared" si="28"/>
        <v>270539.64024934085</v>
      </c>
      <c r="J228">
        <f t="shared" si="29"/>
        <v>-2727.1094332622401</v>
      </c>
    </row>
    <row r="229" spans="1:10" x14ac:dyDescent="0.35">
      <c r="A229">
        <v>202</v>
      </c>
      <c r="B229">
        <v>7.7499999999999999E-2</v>
      </c>
      <c r="C229">
        <f t="shared" si="24"/>
        <v>6.4583333333333333E-3</v>
      </c>
      <c r="D229">
        <v>2727.1094332622401</v>
      </c>
      <c r="E229">
        <v>0</v>
      </c>
      <c r="F229">
        <f t="shared" si="25"/>
        <v>2727.1094332622401</v>
      </c>
      <c r="G229" s="10">
        <f t="shared" si="26"/>
        <v>1747.2351766103263</v>
      </c>
      <c r="H229" s="10">
        <f t="shared" si="27"/>
        <v>979.87425665191381</v>
      </c>
      <c r="I229" s="10">
        <f t="shared" si="28"/>
        <v>269559.76599268895</v>
      </c>
      <c r="J229">
        <f t="shared" si="29"/>
        <v>-2727.1094332622401</v>
      </c>
    </row>
    <row r="230" spans="1:10" x14ac:dyDescent="0.35">
      <c r="A230">
        <v>203</v>
      </c>
      <c r="B230">
        <v>7.7499999999999999E-2</v>
      </c>
      <c r="C230">
        <f t="shared" si="24"/>
        <v>6.4583333333333333E-3</v>
      </c>
      <c r="D230">
        <v>2727.1094332622401</v>
      </c>
      <c r="E230">
        <v>0</v>
      </c>
      <c r="F230">
        <f t="shared" si="25"/>
        <v>2727.1094332622401</v>
      </c>
      <c r="G230" s="10">
        <f t="shared" si="26"/>
        <v>1740.9068220361162</v>
      </c>
      <c r="H230" s="10">
        <f t="shared" si="27"/>
        <v>986.20261122612396</v>
      </c>
      <c r="I230" s="10">
        <f t="shared" si="28"/>
        <v>268573.56338146282</v>
      </c>
      <c r="J230">
        <f t="shared" si="29"/>
        <v>-2727.1094332622401</v>
      </c>
    </row>
    <row r="231" spans="1:10" x14ac:dyDescent="0.35">
      <c r="A231">
        <v>204</v>
      </c>
      <c r="B231">
        <v>7.7499999999999999E-2</v>
      </c>
      <c r="C231">
        <f t="shared" si="24"/>
        <v>6.4583333333333333E-3</v>
      </c>
      <c r="D231">
        <v>2727.1094332622401</v>
      </c>
      <c r="E231">
        <v>0</v>
      </c>
      <c r="F231">
        <f t="shared" si="25"/>
        <v>2727.1094332622401</v>
      </c>
      <c r="G231" s="10">
        <f t="shared" si="26"/>
        <v>1734.537596838614</v>
      </c>
      <c r="H231" s="10">
        <f t="shared" si="27"/>
        <v>992.57183642362611</v>
      </c>
      <c r="I231" s="10">
        <f t="shared" si="28"/>
        <v>267580.99154503917</v>
      </c>
      <c r="J231">
        <f t="shared" si="29"/>
        <v>-2727.1094332622401</v>
      </c>
    </row>
    <row r="232" spans="1:10" x14ac:dyDescent="0.35">
      <c r="A232">
        <v>205</v>
      </c>
      <c r="B232">
        <v>7.7499999999999999E-2</v>
      </c>
      <c r="C232">
        <f t="shared" si="24"/>
        <v>6.4583333333333333E-3</v>
      </c>
      <c r="D232">
        <v>2727.1094332622401</v>
      </c>
      <c r="E232">
        <v>0</v>
      </c>
      <c r="F232">
        <f t="shared" si="25"/>
        <v>2727.1094332622401</v>
      </c>
      <c r="G232" s="10">
        <f t="shared" si="26"/>
        <v>1728.1272370617114</v>
      </c>
      <c r="H232" s="10">
        <f t="shared" si="27"/>
        <v>998.98219620052873</v>
      </c>
      <c r="I232" s="10">
        <f t="shared" si="28"/>
        <v>266582.00934883865</v>
      </c>
      <c r="J232">
        <f t="shared" si="29"/>
        <v>-2727.1094332622401</v>
      </c>
    </row>
    <row r="233" spans="1:10" x14ac:dyDescent="0.35">
      <c r="A233">
        <v>206</v>
      </c>
      <c r="B233">
        <v>7.7499999999999999E-2</v>
      </c>
      <c r="C233">
        <f t="shared" si="24"/>
        <v>6.4583333333333333E-3</v>
      </c>
      <c r="D233">
        <v>2727.1094332622401</v>
      </c>
      <c r="E233">
        <v>0</v>
      </c>
      <c r="F233">
        <f t="shared" si="25"/>
        <v>2727.1094332622401</v>
      </c>
      <c r="G233" s="10">
        <f t="shared" si="26"/>
        <v>1721.675477044583</v>
      </c>
      <c r="H233" s="10">
        <f t="shared" si="27"/>
        <v>1005.4339562176572</v>
      </c>
      <c r="I233" s="10">
        <f t="shared" si="28"/>
        <v>265576.57539262099</v>
      </c>
      <c r="J233">
        <f t="shared" si="29"/>
        <v>-2727.1094332622401</v>
      </c>
    </row>
    <row r="234" spans="1:10" x14ac:dyDescent="0.35">
      <c r="A234">
        <v>207</v>
      </c>
      <c r="B234">
        <v>7.7499999999999999E-2</v>
      </c>
      <c r="C234">
        <f t="shared" si="24"/>
        <v>6.4583333333333333E-3</v>
      </c>
      <c r="D234">
        <v>2727.1094332622401</v>
      </c>
      <c r="E234">
        <v>0</v>
      </c>
      <c r="F234">
        <f t="shared" si="25"/>
        <v>2727.1094332622401</v>
      </c>
      <c r="G234" s="10">
        <f t="shared" si="26"/>
        <v>1715.1820494106771</v>
      </c>
      <c r="H234" s="10">
        <f t="shared" si="27"/>
        <v>1011.927383851563</v>
      </c>
      <c r="I234" s="10">
        <f t="shared" si="28"/>
        <v>264564.64800876944</v>
      </c>
      <c r="J234">
        <f t="shared" si="29"/>
        <v>-2727.1094332622401</v>
      </c>
    </row>
    <row r="235" spans="1:10" x14ac:dyDescent="0.35">
      <c r="A235">
        <v>208</v>
      </c>
      <c r="B235">
        <v>7.7499999999999999E-2</v>
      </c>
      <c r="C235">
        <f t="shared" si="24"/>
        <v>6.4583333333333333E-3</v>
      </c>
      <c r="D235">
        <v>2727.1094332622401</v>
      </c>
      <c r="E235">
        <v>0</v>
      </c>
      <c r="F235">
        <f t="shared" si="25"/>
        <v>2727.1094332622401</v>
      </c>
      <c r="G235" s="10">
        <f t="shared" si="26"/>
        <v>1708.646685056636</v>
      </c>
      <c r="H235" s="10">
        <f t="shared" si="27"/>
        <v>1018.4627482056042</v>
      </c>
      <c r="I235" s="10">
        <f t="shared" si="28"/>
        <v>263546.18526056386</v>
      </c>
      <c r="J235">
        <f t="shared" si="29"/>
        <v>-2727.1094332622401</v>
      </c>
    </row>
    <row r="236" spans="1:10" x14ac:dyDescent="0.35">
      <c r="A236">
        <v>209</v>
      </c>
      <c r="B236">
        <v>7.7499999999999999E-2</v>
      </c>
      <c r="C236">
        <f t="shared" si="24"/>
        <v>6.4583333333333333E-3</v>
      </c>
      <c r="D236">
        <v>2727.1094332622401</v>
      </c>
      <c r="E236">
        <v>0</v>
      </c>
      <c r="F236">
        <f t="shared" si="25"/>
        <v>2727.1094332622401</v>
      </c>
      <c r="G236" s="10">
        <f t="shared" si="26"/>
        <v>1702.0691131411415</v>
      </c>
      <c r="H236" s="10">
        <f t="shared" si="27"/>
        <v>1025.0403201210986</v>
      </c>
      <c r="I236" s="10">
        <f t="shared" si="28"/>
        <v>262521.14494044275</v>
      </c>
      <c r="J236">
        <f t="shared" si="29"/>
        <v>-2727.1094332622401</v>
      </c>
    </row>
    <row r="237" spans="1:10" x14ac:dyDescent="0.35">
      <c r="A237">
        <v>210</v>
      </c>
      <c r="B237">
        <v>7.7499999999999999E-2</v>
      </c>
      <c r="C237">
        <f t="shared" si="24"/>
        <v>6.4583333333333333E-3</v>
      </c>
      <c r="D237">
        <v>2727.1094332622401</v>
      </c>
      <c r="E237">
        <v>0</v>
      </c>
      <c r="F237">
        <f t="shared" si="25"/>
        <v>2727.1094332622401</v>
      </c>
      <c r="G237" s="10">
        <f t="shared" si="26"/>
        <v>1695.4490610736927</v>
      </c>
      <c r="H237" s="10">
        <f t="shared" si="27"/>
        <v>1031.6603721885474</v>
      </c>
      <c r="I237" s="10">
        <f t="shared" si="28"/>
        <v>261489.48456825421</v>
      </c>
      <c r="J237">
        <f t="shared" si="29"/>
        <v>-2727.1094332622401</v>
      </c>
    </row>
    <row r="238" spans="1:10" x14ac:dyDescent="0.35">
      <c r="A238">
        <v>211</v>
      </c>
      <c r="B238">
        <v>7.7499999999999999E-2</v>
      </c>
      <c r="C238">
        <f t="shared" si="24"/>
        <v>6.4583333333333333E-3</v>
      </c>
      <c r="D238">
        <v>2727.1094332622401</v>
      </c>
      <c r="E238">
        <v>0</v>
      </c>
      <c r="F238">
        <f t="shared" si="25"/>
        <v>2727.1094332622401</v>
      </c>
      <c r="G238" s="10">
        <f t="shared" si="26"/>
        <v>1688.7862545033083</v>
      </c>
      <c r="H238" s="10">
        <f t="shared" si="27"/>
        <v>1038.3231787589318</v>
      </c>
      <c r="I238" s="10">
        <f t="shared" si="28"/>
        <v>260451.16138949528</v>
      </c>
      <c r="J238">
        <f t="shared" si="29"/>
        <v>-2727.1094332622401</v>
      </c>
    </row>
    <row r="239" spans="1:10" x14ac:dyDescent="0.35">
      <c r="A239">
        <v>212</v>
      </c>
      <c r="B239">
        <v>7.7499999999999999E-2</v>
      </c>
      <c r="C239">
        <f t="shared" si="24"/>
        <v>6.4583333333333333E-3</v>
      </c>
      <c r="D239">
        <v>2727.1094332622401</v>
      </c>
      <c r="E239">
        <v>0</v>
      </c>
      <c r="F239">
        <f t="shared" si="25"/>
        <v>2727.1094332622401</v>
      </c>
      <c r="G239" s="10">
        <f t="shared" si="26"/>
        <v>1682.0804173071569</v>
      </c>
      <c r="H239" s="10">
        <f t="shared" si="27"/>
        <v>1045.0290159550832</v>
      </c>
      <c r="I239" s="10">
        <f t="shared" si="28"/>
        <v>259406.1323735402</v>
      </c>
      <c r="J239">
        <f t="shared" si="29"/>
        <v>-2727.1094332622401</v>
      </c>
    </row>
    <row r="240" spans="1:10" x14ac:dyDescent="0.35">
      <c r="A240">
        <v>213</v>
      </c>
      <c r="B240">
        <v>7.7499999999999999E-2</v>
      </c>
      <c r="C240">
        <f t="shared" si="24"/>
        <v>6.4583333333333333E-3</v>
      </c>
      <c r="D240">
        <v>2727.1094332622401</v>
      </c>
      <c r="E240">
        <v>0</v>
      </c>
      <c r="F240">
        <f t="shared" si="25"/>
        <v>2727.1094332622401</v>
      </c>
      <c r="G240" s="10">
        <f t="shared" si="26"/>
        <v>1675.3312715791137</v>
      </c>
      <c r="H240" s="10">
        <f t="shared" si="27"/>
        <v>1051.7781616831264</v>
      </c>
      <c r="I240" s="10">
        <f t="shared" si="28"/>
        <v>258354.35421185708</v>
      </c>
      <c r="J240">
        <f t="shared" si="29"/>
        <v>-2727.1094332622401</v>
      </c>
    </row>
    <row r="241" spans="1:10" x14ac:dyDescent="0.35">
      <c r="A241">
        <v>214</v>
      </c>
      <c r="B241">
        <v>7.7499999999999999E-2</v>
      </c>
      <c r="C241">
        <f t="shared" si="24"/>
        <v>6.4583333333333333E-3</v>
      </c>
      <c r="D241">
        <v>2727.1094332622401</v>
      </c>
      <c r="E241">
        <v>0</v>
      </c>
      <c r="F241">
        <f t="shared" si="25"/>
        <v>2727.1094332622401</v>
      </c>
      <c r="G241" s="10">
        <f t="shared" si="26"/>
        <v>1668.5385376182437</v>
      </c>
      <c r="H241" s="10">
        <f t="shared" si="27"/>
        <v>1058.5708956439964</v>
      </c>
      <c r="I241" s="10">
        <f t="shared" si="28"/>
        <v>257295.78331621308</v>
      </c>
      <c r="J241">
        <f t="shared" si="29"/>
        <v>-2727.1094332622401</v>
      </c>
    </row>
    <row r="242" spans="1:10" x14ac:dyDescent="0.35">
      <c r="A242">
        <v>215</v>
      </c>
      <c r="B242">
        <v>7.7499999999999999E-2</v>
      </c>
      <c r="C242">
        <f t="shared" si="24"/>
        <v>6.4583333333333333E-3</v>
      </c>
      <c r="D242">
        <v>2727.1094332622401</v>
      </c>
      <c r="E242">
        <v>0</v>
      </c>
      <c r="F242">
        <f t="shared" si="25"/>
        <v>2727.1094332622401</v>
      </c>
      <c r="G242" s="10">
        <f t="shared" si="26"/>
        <v>1661.7019339172095</v>
      </c>
      <c r="H242" s="10">
        <f t="shared" si="27"/>
        <v>1065.4074993450306</v>
      </c>
      <c r="I242" s="10">
        <f t="shared" si="28"/>
        <v>256230.37581686807</v>
      </c>
      <c r="J242">
        <f t="shared" si="29"/>
        <v>-2727.1094332622401</v>
      </c>
    </row>
    <row r="243" spans="1:10" x14ac:dyDescent="0.35">
      <c r="A243">
        <v>216</v>
      </c>
      <c r="B243">
        <v>7.7499999999999999E-2</v>
      </c>
      <c r="C243">
        <f t="shared" si="24"/>
        <v>6.4583333333333333E-3</v>
      </c>
      <c r="D243">
        <v>2727.1094332622401</v>
      </c>
      <c r="E243">
        <v>0</v>
      </c>
      <c r="F243">
        <f t="shared" si="25"/>
        <v>2727.1094332622401</v>
      </c>
      <c r="G243" s="10">
        <f t="shared" si="26"/>
        <v>1654.8211771506062</v>
      </c>
      <c r="H243" s="10">
        <f t="shared" si="27"/>
        <v>1072.2882561116339</v>
      </c>
      <c r="I243" s="10">
        <f t="shared" si="28"/>
        <v>255158.08756075642</v>
      </c>
      <c r="J243">
        <f t="shared" si="29"/>
        <v>-2727.1094332622401</v>
      </c>
    </row>
    <row r="244" spans="1:10" x14ac:dyDescent="0.35">
      <c r="A244">
        <v>217</v>
      </c>
      <c r="B244">
        <v>7.7499999999999999E-2</v>
      </c>
      <c r="C244">
        <f t="shared" si="24"/>
        <v>6.4583333333333333E-3</v>
      </c>
      <c r="D244">
        <v>2727.1094332622401</v>
      </c>
      <c r="E244">
        <v>0</v>
      </c>
      <c r="F244">
        <f t="shared" si="25"/>
        <v>2727.1094332622401</v>
      </c>
      <c r="G244" s="10">
        <f t="shared" si="26"/>
        <v>1647.8959821632186</v>
      </c>
      <c r="H244" s="10">
        <f t="shared" si="27"/>
        <v>1079.2134510990215</v>
      </c>
      <c r="I244" s="10">
        <f t="shared" si="28"/>
        <v>254078.87410965739</v>
      </c>
      <c r="J244">
        <f t="shared" si="29"/>
        <v>-2727.1094332622401</v>
      </c>
    </row>
    <row r="245" spans="1:10" x14ac:dyDescent="0.35">
      <c r="A245">
        <v>218</v>
      </c>
      <c r="B245">
        <v>7.7499999999999999E-2</v>
      </c>
      <c r="C245">
        <f t="shared" si="24"/>
        <v>6.4583333333333333E-3</v>
      </c>
      <c r="D245">
        <v>2727.1094332622401</v>
      </c>
      <c r="E245">
        <v>0</v>
      </c>
      <c r="F245">
        <f t="shared" si="25"/>
        <v>2727.1094332622401</v>
      </c>
      <c r="G245" s="10">
        <f t="shared" si="26"/>
        <v>1640.9260619582039</v>
      </c>
      <c r="H245" s="10">
        <f t="shared" si="27"/>
        <v>1086.1833713040362</v>
      </c>
      <c r="I245" s="10">
        <f t="shared" si="28"/>
        <v>252992.69073835335</v>
      </c>
      <c r="J245">
        <f t="shared" si="29"/>
        <v>-2727.1094332622401</v>
      </c>
    </row>
    <row r="246" spans="1:10" x14ac:dyDescent="0.35">
      <c r="A246">
        <v>219</v>
      </c>
      <c r="B246">
        <v>7.7499999999999999E-2</v>
      </c>
      <c r="C246">
        <f t="shared" si="24"/>
        <v>6.4583333333333333E-3</v>
      </c>
      <c r="D246">
        <v>2727.1094332622401</v>
      </c>
      <c r="E246">
        <v>0</v>
      </c>
      <c r="F246">
        <f t="shared" si="25"/>
        <v>2727.1094332622401</v>
      </c>
      <c r="G246" s="10">
        <f t="shared" si="26"/>
        <v>1633.9111276851988</v>
      </c>
      <c r="H246" s="10">
        <f t="shared" si="27"/>
        <v>1093.1983055770413</v>
      </c>
      <c r="I246" s="10">
        <f t="shared" si="28"/>
        <v>251899.49243277631</v>
      </c>
      <c r="J246">
        <f t="shared" si="29"/>
        <v>-2727.1094332622401</v>
      </c>
    </row>
    <row r="247" spans="1:10" x14ac:dyDescent="0.35">
      <c r="A247">
        <v>220</v>
      </c>
      <c r="B247">
        <v>7.7499999999999999E-2</v>
      </c>
      <c r="C247">
        <f t="shared" si="24"/>
        <v>6.4583333333333333E-3</v>
      </c>
      <c r="D247">
        <v>2727.1094332622401</v>
      </c>
      <c r="E247">
        <v>0</v>
      </c>
      <c r="F247">
        <f t="shared" si="25"/>
        <v>2727.1094332622401</v>
      </c>
      <c r="G247" s="10">
        <f t="shared" si="26"/>
        <v>1626.8508886283471</v>
      </c>
      <c r="H247" s="10">
        <f t="shared" si="27"/>
        <v>1100.2585446338931</v>
      </c>
      <c r="I247" s="10">
        <f t="shared" si="28"/>
        <v>250799.23388814242</v>
      </c>
      <c r="J247">
        <f t="shared" si="29"/>
        <v>-2727.1094332622401</v>
      </c>
    </row>
    <row r="248" spans="1:10" x14ac:dyDescent="0.35">
      <c r="A248">
        <v>221</v>
      </c>
      <c r="B248">
        <v>7.7499999999999999E-2</v>
      </c>
      <c r="C248">
        <f t="shared" si="24"/>
        <v>6.4583333333333333E-3</v>
      </c>
      <c r="D248">
        <v>2727.1094332622401</v>
      </c>
      <c r="E248">
        <v>0</v>
      </c>
      <c r="F248">
        <f t="shared" si="25"/>
        <v>2727.1094332622401</v>
      </c>
      <c r="G248" s="10">
        <f t="shared" si="26"/>
        <v>1619.745052194253</v>
      </c>
      <c r="H248" s="10">
        <f t="shared" si="27"/>
        <v>1107.3643810679871</v>
      </c>
      <c r="I248" s="10">
        <f t="shared" si="28"/>
        <v>249691.86950707444</v>
      </c>
      <c r="J248">
        <f t="shared" si="29"/>
        <v>-2727.1094332622401</v>
      </c>
    </row>
    <row r="249" spans="1:10" x14ac:dyDescent="0.35">
      <c r="A249">
        <v>222</v>
      </c>
      <c r="B249">
        <v>7.7499999999999999E-2</v>
      </c>
      <c r="C249">
        <f t="shared" si="24"/>
        <v>6.4583333333333333E-3</v>
      </c>
      <c r="D249">
        <v>2727.1094332622401</v>
      </c>
      <c r="E249">
        <v>0</v>
      </c>
      <c r="F249">
        <f t="shared" si="25"/>
        <v>2727.1094332622401</v>
      </c>
      <c r="G249" s="10">
        <f t="shared" si="26"/>
        <v>1612.5933238998557</v>
      </c>
      <c r="H249" s="10">
        <f t="shared" si="27"/>
        <v>1114.5161093623844</v>
      </c>
      <c r="I249" s="10">
        <f t="shared" si="28"/>
        <v>248577.35339771205</v>
      </c>
      <c r="J249">
        <f t="shared" si="29"/>
        <v>-2727.1094332622401</v>
      </c>
    </row>
    <row r="250" spans="1:10" x14ac:dyDescent="0.35">
      <c r="A250">
        <v>223</v>
      </c>
      <c r="B250">
        <v>7.7499999999999999E-2</v>
      </c>
      <c r="C250">
        <f t="shared" si="24"/>
        <v>6.4583333333333333E-3</v>
      </c>
      <c r="D250">
        <v>2727.1094332622401</v>
      </c>
      <c r="E250">
        <v>0</v>
      </c>
      <c r="F250">
        <f t="shared" si="25"/>
        <v>2727.1094332622401</v>
      </c>
      <c r="G250" s="10">
        <f t="shared" si="26"/>
        <v>1605.3954073602238</v>
      </c>
      <c r="H250" s="10">
        <f t="shared" si="27"/>
        <v>1121.7140259020164</v>
      </c>
      <c r="I250" s="10">
        <f t="shared" si="28"/>
        <v>247455.63937181004</v>
      </c>
      <c r="J250">
        <f t="shared" si="29"/>
        <v>-2727.1094332622401</v>
      </c>
    </row>
    <row r="251" spans="1:10" x14ac:dyDescent="0.35">
      <c r="A251">
        <v>224</v>
      </c>
      <c r="B251">
        <v>7.7499999999999999E-2</v>
      </c>
      <c r="C251">
        <f t="shared" si="24"/>
        <v>6.4583333333333333E-3</v>
      </c>
      <c r="D251">
        <v>2727.1094332622401</v>
      </c>
      <c r="E251">
        <v>0</v>
      </c>
      <c r="F251">
        <f t="shared" si="25"/>
        <v>2727.1094332622401</v>
      </c>
      <c r="G251" s="10">
        <f t="shared" si="26"/>
        <v>1598.1510042762732</v>
      </c>
      <c r="H251" s="10">
        <f t="shared" si="27"/>
        <v>1128.958428985967</v>
      </c>
      <c r="I251" s="10">
        <f t="shared" si="28"/>
        <v>246326.68094282408</v>
      </c>
      <c r="J251">
        <f t="shared" si="29"/>
        <v>-2727.1094332622401</v>
      </c>
    </row>
    <row r="252" spans="1:10" x14ac:dyDescent="0.35">
      <c r="A252">
        <v>225</v>
      </c>
      <c r="B252">
        <v>7.7499999999999999E-2</v>
      </c>
      <c r="C252">
        <f t="shared" si="24"/>
        <v>6.4583333333333333E-3</v>
      </c>
      <c r="D252">
        <v>2727.1094332622401</v>
      </c>
      <c r="E252">
        <v>0</v>
      </c>
      <c r="F252">
        <f t="shared" si="25"/>
        <v>2727.1094332622401</v>
      </c>
      <c r="G252" s="10">
        <f t="shared" si="26"/>
        <v>1590.8598144224054</v>
      </c>
      <c r="H252" s="10">
        <f t="shared" si="27"/>
        <v>1136.2496188398347</v>
      </c>
      <c r="I252" s="10">
        <f t="shared" si="28"/>
        <v>245190.43132398426</v>
      </c>
      <c r="J252">
        <f t="shared" si="29"/>
        <v>-2727.1094332622401</v>
      </c>
    </row>
    <row r="253" spans="1:10" x14ac:dyDescent="0.35">
      <c r="A253">
        <v>226</v>
      </c>
      <c r="B253">
        <v>7.7499999999999999E-2</v>
      </c>
      <c r="C253">
        <f t="shared" si="24"/>
        <v>6.4583333333333333E-3</v>
      </c>
      <c r="D253">
        <v>2727.1094332622401</v>
      </c>
      <c r="E253">
        <v>0</v>
      </c>
      <c r="F253">
        <f t="shared" si="25"/>
        <v>2727.1094332622401</v>
      </c>
      <c r="G253" s="10">
        <f t="shared" si="26"/>
        <v>1583.521535634065</v>
      </c>
      <c r="H253" s="10">
        <f t="shared" si="27"/>
        <v>1143.5878976281751</v>
      </c>
      <c r="I253" s="10">
        <f t="shared" si="28"/>
        <v>244046.84342635609</v>
      </c>
      <c r="J253">
        <f t="shared" si="29"/>
        <v>-2727.1094332622401</v>
      </c>
    </row>
    <row r="254" spans="1:10" x14ac:dyDescent="0.35">
      <c r="A254">
        <v>227</v>
      </c>
      <c r="B254">
        <v>7.7499999999999999E-2</v>
      </c>
      <c r="C254">
        <f t="shared" si="24"/>
        <v>6.4583333333333333E-3</v>
      </c>
      <c r="D254">
        <v>2727.1094332622401</v>
      </c>
      <c r="E254">
        <v>0</v>
      </c>
      <c r="F254">
        <f t="shared" si="25"/>
        <v>2727.1094332622401</v>
      </c>
      <c r="G254" s="10">
        <f t="shared" si="26"/>
        <v>1576.1358637952164</v>
      </c>
      <c r="H254" s="10">
        <f t="shared" si="27"/>
        <v>1150.9735694670237</v>
      </c>
      <c r="I254" s="10">
        <f t="shared" si="28"/>
        <v>242895.86985688907</v>
      </c>
      <c r="J254">
        <f t="shared" si="29"/>
        <v>-2727.1094332622401</v>
      </c>
    </row>
    <row r="255" spans="1:10" x14ac:dyDescent="0.35">
      <c r="A255">
        <v>228</v>
      </c>
      <c r="B255">
        <v>7.7499999999999999E-2</v>
      </c>
      <c r="C255">
        <f t="shared" si="24"/>
        <v>6.4583333333333333E-3</v>
      </c>
      <c r="D255">
        <v>2727.1094332622401</v>
      </c>
      <c r="E255">
        <v>0</v>
      </c>
      <c r="F255">
        <f t="shared" si="25"/>
        <v>2727.1094332622401</v>
      </c>
      <c r="G255" s="10">
        <f t="shared" si="26"/>
        <v>1568.702492825742</v>
      </c>
      <c r="H255" s="10">
        <f t="shared" si="27"/>
        <v>1158.4069404364982</v>
      </c>
      <c r="I255" s="10">
        <f t="shared" si="28"/>
        <v>241737.46291645258</v>
      </c>
      <c r="J255">
        <f t="shared" si="29"/>
        <v>-2727.1094332622401</v>
      </c>
    </row>
    <row r="256" spans="1:10" x14ac:dyDescent="0.35">
      <c r="A256">
        <v>229</v>
      </c>
      <c r="B256">
        <v>7.7499999999999999E-2</v>
      </c>
      <c r="C256">
        <f t="shared" si="24"/>
        <v>6.4583333333333333E-3</v>
      </c>
      <c r="D256">
        <v>2727.1094332622401</v>
      </c>
      <c r="E256">
        <v>0</v>
      </c>
      <c r="F256">
        <f t="shared" si="25"/>
        <v>2727.1094332622401</v>
      </c>
      <c r="G256" s="10">
        <f t="shared" si="26"/>
        <v>1561.2211146687562</v>
      </c>
      <c r="H256" s="10">
        <f t="shared" si="27"/>
        <v>1165.888318593484</v>
      </c>
      <c r="I256" s="10">
        <f t="shared" si="28"/>
        <v>240571.57459785909</v>
      </c>
      <c r="J256">
        <f t="shared" si="29"/>
        <v>-2727.1094332622401</v>
      </c>
    </row>
    <row r="257" spans="1:10" x14ac:dyDescent="0.35">
      <c r="A257">
        <v>230</v>
      </c>
      <c r="B257">
        <v>7.7499999999999999E-2</v>
      </c>
      <c r="C257">
        <f t="shared" si="24"/>
        <v>6.4583333333333333E-3</v>
      </c>
      <c r="D257">
        <v>2727.1094332622401</v>
      </c>
      <c r="E257">
        <v>0</v>
      </c>
      <c r="F257">
        <f t="shared" si="25"/>
        <v>2727.1094332622401</v>
      </c>
      <c r="G257" s="10">
        <f t="shared" si="26"/>
        <v>1553.6914192778399</v>
      </c>
      <c r="H257" s="10">
        <f t="shared" si="27"/>
        <v>1173.4180139844002</v>
      </c>
      <c r="I257" s="10">
        <f t="shared" si="28"/>
        <v>239398.15658387469</v>
      </c>
      <c r="J257">
        <f t="shared" si="29"/>
        <v>-2727.1094332622401</v>
      </c>
    </row>
    <row r="258" spans="1:10" x14ac:dyDescent="0.35">
      <c r="A258">
        <v>231</v>
      </c>
      <c r="B258">
        <v>7.7499999999999999E-2</v>
      </c>
      <c r="C258">
        <f t="shared" si="24"/>
        <v>6.4583333333333333E-3</v>
      </c>
      <c r="D258">
        <v>2727.1094332622401</v>
      </c>
      <c r="E258">
        <v>0</v>
      </c>
      <c r="F258">
        <f t="shared" si="25"/>
        <v>2727.1094332622401</v>
      </c>
      <c r="G258" s="10">
        <f t="shared" si="26"/>
        <v>1546.1130946041908</v>
      </c>
      <c r="H258" s="10">
        <f t="shared" si="27"/>
        <v>1180.9963386580494</v>
      </c>
      <c r="I258" s="10">
        <f t="shared" si="28"/>
        <v>238217.16024521663</v>
      </c>
      <c r="J258">
        <f t="shared" si="29"/>
        <v>-2727.1094332622401</v>
      </c>
    </row>
    <row r="259" spans="1:10" x14ac:dyDescent="0.35">
      <c r="A259">
        <v>232</v>
      </c>
      <c r="B259">
        <v>7.7499999999999999E-2</v>
      </c>
      <c r="C259">
        <f t="shared" si="24"/>
        <v>6.4583333333333333E-3</v>
      </c>
      <c r="D259">
        <v>2727.1094332622401</v>
      </c>
      <c r="E259">
        <v>0</v>
      </c>
      <c r="F259">
        <f t="shared" si="25"/>
        <v>2727.1094332622401</v>
      </c>
      <c r="G259" s="10">
        <f t="shared" si="26"/>
        <v>1538.4858265836906</v>
      </c>
      <c r="H259" s="10">
        <f t="shared" si="27"/>
        <v>1188.6236066785495</v>
      </c>
      <c r="I259" s="10">
        <f t="shared" si="28"/>
        <v>237028.53663853806</v>
      </c>
      <c r="J259">
        <f t="shared" si="29"/>
        <v>-2727.1094332622401</v>
      </c>
    </row>
    <row r="260" spans="1:10" x14ac:dyDescent="0.35">
      <c r="A260">
        <v>233</v>
      </c>
      <c r="B260">
        <v>7.7499999999999999E-2</v>
      </c>
      <c r="C260">
        <f t="shared" si="24"/>
        <v>6.4583333333333333E-3</v>
      </c>
      <c r="D260">
        <v>2727.1094332622401</v>
      </c>
      <c r="E260">
        <v>0</v>
      </c>
      <c r="F260">
        <f t="shared" si="25"/>
        <v>2727.1094332622401</v>
      </c>
      <c r="G260" s="10">
        <f t="shared" si="26"/>
        <v>1530.8092991238916</v>
      </c>
      <c r="H260" s="10">
        <f t="shared" si="27"/>
        <v>1196.3001341383485</v>
      </c>
      <c r="I260" s="10">
        <f t="shared" si="28"/>
        <v>235832.23650439971</v>
      </c>
      <c r="J260">
        <f t="shared" si="29"/>
        <v>-2727.1094332622401</v>
      </c>
    </row>
    <row r="261" spans="1:10" x14ac:dyDescent="0.35">
      <c r="A261">
        <v>234</v>
      </c>
      <c r="B261">
        <v>7.7499999999999999E-2</v>
      </c>
      <c r="C261">
        <f t="shared" si="24"/>
        <v>6.4583333333333333E-3</v>
      </c>
      <c r="D261">
        <v>2727.1094332622401</v>
      </c>
      <c r="E261">
        <v>0</v>
      </c>
      <c r="F261">
        <f t="shared" si="25"/>
        <v>2727.1094332622401</v>
      </c>
      <c r="G261" s="10">
        <f t="shared" si="26"/>
        <v>1523.0831940909147</v>
      </c>
      <c r="H261" s="10">
        <f t="shared" si="27"/>
        <v>1204.0262391713254</v>
      </c>
      <c r="I261" s="10">
        <f t="shared" si="28"/>
        <v>234628.21026522838</v>
      </c>
      <c r="J261">
        <f t="shared" si="29"/>
        <v>-2727.1094332622401</v>
      </c>
    </row>
    <row r="262" spans="1:10" x14ac:dyDescent="0.35">
      <c r="A262">
        <v>235</v>
      </c>
      <c r="B262">
        <v>7.7499999999999999E-2</v>
      </c>
      <c r="C262">
        <f t="shared" si="24"/>
        <v>6.4583333333333333E-3</v>
      </c>
      <c r="D262">
        <v>2727.1094332622401</v>
      </c>
      <c r="E262">
        <v>0</v>
      </c>
      <c r="F262">
        <f t="shared" si="25"/>
        <v>2727.1094332622401</v>
      </c>
      <c r="G262" s="10">
        <f t="shared" si="26"/>
        <v>1515.3071912962666</v>
      </c>
      <c r="H262" s="10">
        <f t="shared" si="27"/>
        <v>1211.8022419659735</v>
      </c>
      <c r="I262" s="10">
        <f t="shared" si="28"/>
        <v>233416.4080232624</v>
      </c>
      <c r="J262">
        <f t="shared" si="29"/>
        <v>-2727.1094332622401</v>
      </c>
    </row>
    <row r="263" spans="1:10" x14ac:dyDescent="0.35">
      <c r="A263">
        <v>236</v>
      </c>
      <c r="B263">
        <v>7.7499999999999999E-2</v>
      </c>
      <c r="C263">
        <f t="shared" si="24"/>
        <v>6.4583333333333333E-3</v>
      </c>
      <c r="D263">
        <v>2727.1094332622401</v>
      </c>
      <c r="E263">
        <v>0</v>
      </c>
      <c r="F263">
        <f t="shared" si="25"/>
        <v>2727.1094332622401</v>
      </c>
      <c r="G263" s="10">
        <f t="shared" si="26"/>
        <v>1507.4809684835695</v>
      </c>
      <c r="H263" s="10">
        <f t="shared" si="27"/>
        <v>1219.6284647786706</v>
      </c>
      <c r="I263" s="10">
        <f t="shared" si="28"/>
        <v>232196.77955848371</v>
      </c>
      <c r="J263">
        <f t="shared" si="29"/>
        <v>-2727.1094332622401</v>
      </c>
    </row>
    <row r="264" spans="1:10" x14ac:dyDescent="0.35">
      <c r="A264">
        <v>237</v>
      </c>
      <c r="B264">
        <v>7.7499999999999999E-2</v>
      </c>
      <c r="C264">
        <f t="shared" si="24"/>
        <v>6.4583333333333333E-3</v>
      </c>
      <c r="D264">
        <v>2727.1094332622401</v>
      </c>
      <c r="E264">
        <v>0</v>
      </c>
      <c r="F264">
        <f t="shared" si="25"/>
        <v>2727.1094332622401</v>
      </c>
      <c r="G264" s="10">
        <f t="shared" si="26"/>
        <v>1499.6042013152073</v>
      </c>
      <c r="H264" s="10">
        <f t="shared" si="27"/>
        <v>1227.5052319470328</v>
      </c>
      <c r="I264" s="10">
        <f t="shared" si="28"/>
        <v>230969.27432653669</v>
      </c>
      <c r="J264">
        <f t="shared" si="29"/>
        <v>-2727.1094332622401</v>
      </c>
    </row>
    <row r="265" spans="1:10" x14ac:dyDescent="0.35">
      <c r="A265">
        <v>238</v>
      </c>
      <c r="B265">
        <v>7.7499999999999999E-2</v>
      </c>
      <c r="C265">
        <f t="shared" si="24"/>
        <v>6.4583333333333333E-3</v>
      </c>
      <c r="D265">
        <v>2727.1094332622401</v>
      </c>
      <c r="E265">
        <v>0</v>
      </c>
      <c r="F265">
        <f t="shared" si="25"/>
        <v>2727.1094332622401</v>
      </c>
      <c r="G265" s="10">
        <f t="shared" si="26"/>
        <v>1491.6765633588827</v>
      </c>
      <c r="H265" s="10">
        <f t="shared" si="27"/>
        <v>1235.4328699033574</v>
      </c>
      <c r="I265" s="10">
        <f t="shared" si="28"/>
        <v>229733.84145663332</v>
      </c>
      <c r="J265">
        <f t="shared" si="29"/>
        <v>-2727.1094332622401</v>
      </c>
    </row>
    <row r="266" spans="1:10" x14ac:dyDescent="0.35">
      <c r="A266">
        <v>239</v>
      </c>
      <c r="B266">
        <v>7.7499999999999999E-2</v>
      </c>
      <c r="C266">
        <f t="shared" si="24"/>
        <v>6.4583333333333333E-3</v>
      </c>
      <c r="D266">
        <v>2727.1094332622401</v>
      </c>
      <c r="E266">
        <v>0</v>
      </c>
      <c r="F266">
        <f t="shared" si="25"/>
        <v>2727.1094332622401</v>
      </c>
      <c r="G266" s="10">
        <f t="shared" si="26"/>
        <v>1483.6977260740903</v>
      </c>
      <c r="H266" s="10">
        <f t="shared" si="27"/>
        <v>1243.4117071881499</v>
      </c>
      <c r="I266" s="10">
        <f t="shared" si="28"/>
        <v>228490.42974944517</v>
      </c>
      <c r="J266">
        <f t="shared" si="29"/>
        <v>-2727.1094332622401</v>
      </c>
    </row>
    <row r="267" spans="1:10" x14ac:dyDescent="0.35">
      <c r="A267">
        <v>240</v>
      </c>
      <c r="B267">
        <v>7.7499999999999999E-2</v>
      </c>
      <c r="C267">
        <f t="shared" si="24"/>
        <v>6.4583333333333333E-3</v>
      </c>
      <c r="D267">
        <v>2727.1094332622401</v>
      </c>
      <c r="E267">
        <v>0</v>
      </c>
      <c r="F267">
        <f t="shared" si="25"/>
        <v>2727.1094332622401</v>
      </c>
      <c r="G267" s="10">
        <f t="shared" si="26"/>
        <v>1475.6673587985001</v>
      </c>
      <c r="H267" s="10">
        <f t="shared" si="27"/>
        <v>1251.44207446374</v>
      </c>
      <c r="I267" s="10">
        <f t="shared" si="28"/>
        <v>227238.98767498144</v>
      </c>
      <c r="J267">
        <f t="shared" si="29"/>
        <v>-2727.1094332622401</v>
      </c>
    </row>
    <row r="268" spans="1:10" x14ac:dyDescent="0.35">
      <c r="A268">
        <v>241</v>
      </c>
      <c r="B268">
        <v>7.7499999999999999E-2</v>
      </c>
      <c r="C268">
        <f t="shared" si="24"/>
        <v>6.4583333333333333E-3</v>
      </c>
      <c r="D268">
        <v>2727.1094332622401</v>
      </c>
      <c r="E268">
        <v>0</v>
      </c>
      <c r="F268">
        <f t="shared" si="25"/>
        <v>2727.1094332622401</v>
      </c>
      <c r="G268" s="10">
        <f t="shared" si="26"/>
        <v>1467.5851287342552</v>
      </c>
      <c r="H268" s="10">
        <f t="shared" si="27"/>
        <v>1259.5243045279849</v>
      </c>
      <c r="I268" s="10">
        <f t="shared" si="28"/>
        <v>225979.46337045345</v>
      </c>
      <c r="J268">
        <f t="shared" si="29"/>
        <v>-2727.1094332622401</v>
      </c>
    </row>
    <row r="269" spans="1:10" x14ac:dyDescent="0.35">
      <c r="A269">
        <v>242</v>
      </c>
      <c r="B269">
        <v>7.7499999999999999E-2</v>
      </c>
      <c r="C269">
        <f t="shared" si="24"/>
        <v>6.4583333333333333E-3</v>
      </c>
      <c r="D269">
        <v>2727.1094332622401</v>
      </c>
      <c r="E269">
        <v>0</v>
      </c>
      <c r="F269">
        <f t="shared" si="25"/>
        <v>2727.1094332622401</v>
      </c>
      <c r="G269" s="10">
        <f t="shared" si="26"/>
        <v>1459.4507009341785</v>
      </c>
      <c r="H269" s="10">
        <f t="shared" si="27"/>
        <v>1267.6587323280617</v>
      </c>
      <c r="I269" s="10">
        <f t="shared" si="28"/>
        <v>224711.80463812538</v>
      </c>
      <c r="J269">
        <f t="shared" si="29"/>
        <v>-2727.1094332622401</v>
      </c>
    </row>
    <row r="270" spans="1:10" x14ac:dyDescent="0.35">
      <c r="A270">
        <v>243</v>
      </c>
      <c r="B270">
        <v>7.7499999999999999E-2</v>
      </c>
      <c r="C270">
        <f t="shared" si="24"/>
        <v>6.4583333333333333E-3</v>
      </c>
      <c r="D270">
        <v>2727.1094332622401</v>
      </c>
      <c r="E270">
        <v>0</v>
      </c>
      <c r="F270">
        <f t="shared" si="25"/>
        <v>2727.1094332622401</v>
      </c>
      <c r="G270" s="10">
        <f t="shared" si="26"/>
        <v>1451.2637382878931</v>
      </c>
      <c r="H270" s="10">
        <f t="shared" si="27"/>
        <v>1275.845694974347</v>
      </c>
      <c r="I270" s="10">
        <f t="shared" si="28"/>
        <v>223435.95894315102</v>
      </c>
      <c r="J270">
        <f t="shared" si="29"/>
        <v>-2727.1094332622401</v>
      </c>
    </row>
    <row r="271" spans="1:10" x14ac:dyDescent="0.35">
      <c r="A271">
        <v>244</v>
      </c>
      <c r="B271">
        <v>7.7499999999999999E-2</v>
      </c>
      <c r="C271">
        <f t="shared" si="24"/>
        <v>6.4583333333333333E-3</v>
      </c>
      <c r="D271">
        <v>2727.1094332622401</v>
      </c>
      <c r="E271">
        <v>0</v>
      </c>
      <c r="F271">
        <f t="shared" si="25"/>
        <v>2727.1094332622401</v>
      </c>
      <c r="G271" s="10">
        <f t="shared" si="26"/>
        <v>1443.0239015078503</v>
      </c>
      <c r="H271" s="10">
        <f t="shared" si="27"/>
        <v>1284.0855317543899</v>
      </c>
      <c r="I271" s="10">
        <f t="shared" si="28"/>
        <v>222151.87341139663</v>
      </c>
      <c r="J271">
        <f t="shared" si="29"/>
        <v>-2727.1094332622401</v>
      </c>
    </row>
    <row r="272" spans="1:10" x14ac:dyDescent="0.35">
      <c r="A272">
        <v>245</v>
      </c>
      <c r="B272">
        <v>7.7499999999999999E-2</v>
      </c>
      <c r="C272">
        <f t="shared" si="24"/>
        <v>6.4583333333333333E-3</v>
      </c>
      <c r="D272">
        <v>2727.1094332622401</v>
      </c>
      <c r="E272">
        <v>0</v>
      </c>
      <c r="F272">
        <f t="shared" si="25"/>
        <v>2727.1094332622401</v>
      </c>
      <c r="G272" s="10">
        <f t="shared" si="26"/>
        <v>1434.7308491152698</v>
      </c>
      <c r="H272" s="10">
        <f t="shared" si="27"/>
        <v>1292.3785841469703</v>
      </c>
      <c r="I272" s="10">
        <f t="shared" si="28"/>
        <v>220859.49482724967</v>
      </c>
      <c r="J272">
        <f t="shared" si="29"/>
        <v>-2727.1094332622401</v>
      </c>
    </row>
    <row r="273" spans="1:10" x14ac:dyDescent="0.35">
      <c r="A273">
        <v>246</v>
      </c>
      <c r="B273">
        <v>7.7499999999999999E-2</v>
      </c>
      <c r="C273">
        <f t="shared" si="24"/>
        <v>6.4583333333333333E-3</v>
      </c>
      <c r="D273">
        <v>2727.1094332622401</v>
      </c>
      <c r="E273">
        <v>0</v>
      </c>
      <c r="F273">
        <f t="shared" si="25"/>
        <v>2727.1094332622401</v>
      </c>
      <c r="G273" s="10">
        <f t="shared" si="26"/>
        <v>1426.3842374259875</v>
      </c>
      <c r="H273" s="10">
        <f t="shared" si="27"/>
        <v>1300.7251958362526</v>
      </c>
      <c r="I273" s="10">
        <f t="shared" si="28"/>
        <v>219558.76963141342</v>
      </c>
      <c r="J273">
        <f t="shared" si="29"/>
        <v>-2727.1094332622401</v>
      </c>
    </row>
    <row r="274" spans="1:10" x14ac:dyDescent="0.35">
      <c r="A274">
        <v>247</v>
      </c>
      <c r="B274">
        <v>7.7499999999999999E-2</v>
      </c>
      <c r="C274">
        <f t="shared" si="24"/>
        <v>6.4583333333333333E-3</v>
      </c>
      <c r="D274">
        <v>2727.1094332622401</v>
      </c>
      <c r="E274">
        <v>0</v>
      </c>
      <c r="F274">
        <f t="shared" si="25"/>
        <v>2727.1094332622401</v>
      </c>
      <c r="G274" s="10">
        <f t="shared" si="26"/>
        <v>1417.9837205362116</v>
      </c>
      <c r="H274" s="10">
        <f t="shared" si="27"/>
        <v>1309.1257127260285</v>
      </c>
      <c r="I274" s="10">
        <f t="shared" si="28"/>
        <v>218249.64391868739</v>
      </c>
      <c r="J274">
        <f t="shared" si="29"/>
        <v>-2727.1094332622401</v>
      </c>
    </row>
    <row r="275" spans="1:10" x14ac:dyDescent="0.35">
      <c r="A275">
        <v>248</v>
      </c>
      <c r="B275">
        <v>7.7499999999999999E-2</v>
      </c>
      <c r="C275">
        <f t="shared" si="24"/>
        <v>6.4583333333333333E-3</v>
      </c>
      <c r="D275">
        <v>2727.1094332622401</v>
      </c>
      <c r="E275">
        <v>0</v>
      </c>
      <c r="F275">
        <f t="shared" si="25"/>
        <v>2727.1094332622401</v>
      </c>
      <c r="G275" s="10">
        <f t="shared" si="26"/>
        <v>1409.5289503081895</v>
      </c>
      <c r="H275" s="10">
        <f t="shared" si="27"/>
        <v>1317.5804829540507</v>
      </c>
      <c r="I275" s="10">
        <f t="shared" si="28"/>
        <v>216932.06343573335</v>
      </c>
      <c r="J275">
        <f t="shared" si="29"/>
        <v>-2727.1094332622401</v>
      </c>
    </row>
    <row r="276" spans="1:10" x14ac:dyDescent="0.35">
      <c r="A276">
        <v>249</v>
      </c>
      <c r="B276">
        <v>7.7499999999999999E-2</v>
      </c>
      <c r="C276">
        <f t="shared" si="24"/>
        <v>6.4583333333333333E-3</v>
      </c>
      <c r="D276">
        <v>2727.1094332622401</v>
      </c>
      <c r="E276">
        <v>0</v>
      </c>
      <c r="F276">
        <f t="shared" si="25"/>
        <v>2727.1094332622401</v>
      </c>
      <c r="G276" s="10">
        <f t="shared" si="26"/>
        <v>1401.0195763557779</v>
      </c>
      <c r="H276" s="10">
        <f t="shared" si="27"/>
        <v>1326.0898569064623</v>
      </c>
      <c r="I276" s="10">
        <f t="shared" si="28"/>
        <v>215605.97357882687</v>
      </c>
      <c r="J276">
        <f t="shared" si="29"/>
        <v>-2727.1094332622401</v>
      </c>
    </row>
    <row r="277" spans="1:10" x14ac:dyDescent="0.35">
      <c r="A277">
        <v>250</v>
      </c>
      <c r="B277">
        <v>7.7499999999999999E-2</v>
      </c>
      <c r="C277">
        <f t="shared" si="24"/>
        <v>6.4583333333333333E-3</v>
      </c>
      <c r="D277">
        <v>2727.1094332622401</v>
      </c>
      <c r="E277">
        <v>0</v>
      </c>
      <c r="F277">
        <f t="shared" si="25"/>
        <v>2727.1094332622401</v>
      </c>
      <c r="G277" s="10">
        <f t="shared" si="26"/>
        <v>1392.4552460299235</v>
      </c>
      <c r="H277" s="10">
        <f t="shared" si="27"/>
        <v>1334.6541872323166</v>
      </c>
      <c r="I277" s="10">
        <f t="shared" si="28"/>
        <v>214271.31939159456</v>
      </c>
      <c r="J277">
        <f t="shared" si="29"/>
        <v>-2727.1094332622401</v>
      </c>
    </row>
    <row r="278" spans="1:10" x14ac:dyDescent="0.35">
      <c r="A278">
        <v>251</v>
      </c>
      <c r="B278">
        <v>7.7499999999999999E-2</v>
      </c>
      <c r="C278">
        <f t="shared" si="24"/>
        <v>6.4583333333333333E-3</v>
      </c>
      <c r="D278">
        <v>2727.1094332622401</v>
      </c>
      <c r="E278">
        <v>0</v>
      </c>
      <c r="F278">
        <f t="shared" si="25"/>
        <v>2727.1094332622401</v>
      </c>
      <c r="G278" s="10">
        <f t="shared" si="26"/>
        <v>1383.8356044040481</v>
      </c>
      <c r="H278" s="10">
        <f t="shared" si="27"/>
        <v>1343.273828858192</v>
      </c>
      <c r="I278" s="10">
        <f t="shared" si="28"/>
        <v>212928.04556273637</v>
      </c>
      <c r="J278">
        <f t="shared" si="29"/>
        <v>-2727.1094332622401</v>
      </c>
    </row>
    <row r="279" spans="1:10" x14ac:dyDescent="0.35">
      <c r="A279">
        <v>252</v>
      </c>
      <c r="B279">
        <v>7.7499999999999999E-2</v>
      </c>
      <c r="C279">
        <f t="shared" si="24"/>
        <v>6.4583333333333333E-3</v>
      </c>
      <c r="D279">
        <v>2727.1094332622401</v>
      </c>
      <c r="E279">
        <v>0</v>
      </c>
      <c r="F279">
        <f t="shared" si="25"/>
        <v>2727.1094332622401</v>
      </c>
      <c r="G279" s="10">
        <f t="shared" si="26"/>
        <v>1375.160294259339</v>
      </c>
      <c r="H279" s="10">
        <f t="shared" si="27"/>
        <v>1351.9491390029011</v>
      </c>
      <c r="I279" s="10">
        <f t="shared" si="28"/>
        <v>211576.09642373346</v>
      </c>
      <c r="J279">
        <f t="shared" si="29"/>
        <v>-2727.1094332622401</v>
      </c>
    </row>
    <row r="280" spans="1:10" x14ac:dyDescent="0.35">
      <c r="A280">
        <v>253</v>
      </c>
      <c r="B280">
        <v>7.7499999999999999E-2</v>
      </c>
      <c r="C280">
        <f t="shared" si="24"/>
        <v>6.4583333333333333E-3</v>
      </c>
      <c r="D280">
        <v>2727.1094332622401</v>
      </c>
      <c r="E280">
        <v>0</v>
      </c>
      <c r="F280">
        <f t="shared" si="25"/>
        <v>2727.1094332622401</v>
      </c>
      <c r="G280" s="10">
        <f t="shared" si="26"/>
        <v>1366.4289560699451</v>
      </c>
      <c r="H280" s="10">
        <f t="shared" si="27"/>
        <v>1360.680477192295</v>
      </c>
      <c r="I280" s="10">
        <f t="shared" si="28"/>
        <v>210215.41594654115</v>
      </c>
      <c r="J280">
        <f t="shared" si="29"/>
        <v>-2727.1094332622401</v>
      </c>
    </row>
    <row r="281" spans="1:10" x14ac:dyDescent="0.35">
      <c r="A281">
        <v>254</v>
      </c>
      <c r="B281">
        <v>7.7499999999999999E-2</v>
      </c>
      <c r="C281">
        <f t="shared" si="24"/>
        <v>6.4583333333333333E-3</v>
      </c>
      <c r="D281">
        <v>2727.1094332622401</v>
      </c>
      <c r="E281">
        <v>0</v>
      </c>
      <c r="F281">
        <f t="shared" si="25"/>
        <v>2727.1094332622401</v>
      </c>
      <c r="G281" s="10">
        <f t="shared" si="26"/>
        <v>1357.6412279880783</v>
      </c>
      <c r="H281" s="10">
        <f t="shared" si="27"/>
        <v>1369.4682052741618</v>
      </c>
      <c r="I281" s="10">
        <f t="shared" si="28"/>
        <v>208845.94774126698</v>
      </c>
      <c r="J281">
        <f t="shared" si="29"/>
        <v>-2727.1094332622401</v>
      </c>
    </row>
    <row r="282" spans="1:10" x14ac:dyDescent="0.35">
      <c r="A282">
        <v>255</v>
      </c>
      <c r="B282">
        <v>7.7499999999999999E-2</v>
      </c>
      <c r="C282">
        <f t="shared" si="24"/>
        <v>6.4583333333333333E-3</v>
      </c>
      <c r="D282">
        <v>2727.1094332622401</v>
      </c>
      <c r="E282">
        <v>0</v>
      </c>
      <c r="F282">
        <f t="shared" si="25"/>
        <v>2727.1094332622401</v>
      </c>
      <c r="G282" s="10">
        <f t="shared" si="26"/>
        <v>1348.7967458290159</v>
      </c>
      <c r="H282" s="10">
        <f t="shared" si="27"/>
        <v>1378.3126874332243</v>
      </c>
      <c r="I282" s="10">
        <f t="shared" si="28"/>
        <v>207467.63505383374</v>
      </c>
      <c r="J282">
        <f t="shared" si="29"/>
        <v>-2727.1094332622401</v>
      </c>
    </row>
    <row r="283" spans="1:10" x14ac:dyDescent="0.35">
      <c r="A283">
        <v>256</v>
      </c>
      <c r="B283">
        <v>7.7499999999999999E-2</v>
      </c>
      <c r="C283">
        <f t="shared" si="24"/>
        <v>6.4583333333333333E-3</v>
      </c>
      <c r="D283">
        <v>2727.1094332622401</v>
      </c>
      <c r="E283">
        <v>0</v>
      </c>
      <c r="F283">
        <f t="shared" si="25"/>
        <v>2727.1094332622401</v>
      </c>
      <c r="G283" s="10">
        <f t="shared" si="26"/>
        <v>1339.8951430560096</v>
      </c>
      <c r="H283" s="10">
        <f t="shared" si="27"/>
        <v>1387.2142902062305</v>
      </c>
      <c r="I283" s="10">
        <f t="shared" si="28"/>
        <v>206080.42076362751</v>
      </c>
      <c r="J283">
        <f t="shared" si="29"/>
        <v>-2727.1094332622401</v>
      </c>
    </row>
    <row r="284" spans="1:10" x14ac:dyDescent="0.35">
      <c r="A284">
        <v>257</v>
      </c>
      <c r="B284">
        <v>7.7499999999999999E-2</v>
      </c>
      <c r="C284">
        <f t="shared" si="24"/>
        <v>6.4583333333333333E-3</v>
      </c>
      <c r="D284">
        <v>2727.1094332622401</v>
      </c>
      <c r="E284">
        <v>0</v>
      </c>
      <c r="F284">
        <f t="shared" si="25"/>
        <v>2727.1094332622401</v>
      </c>
      <c r="G284" s="10">
        <f t="shared" si="26"/>
        <v>1330.9360507650943</v>
      </c>
      <c r="H284" s="10">
        <f t="shared" si="27"/>
        <v>1396.1733824971459</v>
      </c>
      <c r="I284" s="10">
        <f t="shared" si="28"/>
        <v>204684.24738113035</v>
      </c>
      <c r="J284">
        <f t="shared" si="29"/>
        <v>-2727.1094332622401</v>
      </c>
    </row>
    <row r="285" spans="1:10" x14ac:dyDescent="0.35">
      <c r="A285">
        <v>258</v>
      </c>
      <c r="B285">
        <v>7.7499999999999999E-2</v>
      </c>
      <c r="C285">
        <f t="shared" si="24"/>
        <v>6.4583333333333333E-3</v>
      </c>
      <c r="D285">
        <v>2727.1094332622401</v>
      </c>
      <c r="E285">
        <v>0</v>
      </c>
      <c r="F285">
        <f t="shared" si="25"/>
        <v>2727.1094332622401</v>
      </c>
      <c r="G285" s="10">
        <f t="shared" si="26"/>
        <v>1321.9190976698001</v>
      </c>
      <c r="H285" s="10">
        <f t="shared" si="27"/>
        <v>1405.1903355924401</v>
      </c>
      <c r="I285" s="10">
        <f t="shared" si="28"/>
        <v>203279.05704553792</v>
      </c>
      <c r="J285">
        <f t="shared" si="29"/>
        <v>-2727.1094332622401</v>
      </c>
    </row>
    <row r="286" spans="1:10" x14ac:dyDescent="0.35">
      <c r="A286">
        <v>259</v>
      </c>
      <c r="B286">
        <v>7.7499999999999999E-2</v>
      </c>
      <c r="C286">
        <f t="shared" si="24"/>
        <v>6.4583333333333333E-3</v>
      </c>
      <c r="D286">
        <v>2727.1094332622401</v>
      </c>
      <c r="E286">
        <v>0</v>
      </c>
      <c r="F286">
        <f t="shared" si="25"/>
        <v>2727.1094332622401</v>
      </c>
      <c r="G286" s="10">
        <f t="shared" si="26"/>
        <v>1312.8439100857656</v>
      </c>
      <c r="H286" s="10">
        <f t="shared" si="27"/>
        <v>1414.2655231764745</v>
      </c>
      <c r="I286" s="10">
        <f t="shared" si="28"/>
        <v>201864.79152236145</v>
      </c>
      <c r="J286">
        <f t="shared" si="29"/>
        <v>-2727.1094332622401</v>
      </c>
    </row>
    <row r="287" spans="1:10" x14ac:dyDescent="0.35">
      <c r="A287">
        <v>260</v>
      </c>
      <c r="B287">
        <v>7.7499999999999999E-2</v>
      </c>
      <c r="C287">
        <f t="shared" si="24"/>
        <v>6.4583333333333333E-3</v>
      </c>
      <c r="D287">
        <v>2727.1094332622401</v>
      </c>
      <c r="E287">
        <v>0</v>
      </c>
      <c r="F287">
        <f t="shared" si="25"/>
        <v>2727.1094332622401</v>
      </c>
      <c r="G287" s="10">
        <f t="shared" si="26"/>
        <v>1303.710111915251</v>
      </c>
      <c r="H287" s="10">
        <f t="shared" si="27"/>
        <v>1423.3993213469892</v>
      </c>
      <c r="I287" s="10">
        <f t="shared" si="28"/>
        <v>200441.39220101447</v>
      </c>
      <c r="J287">
        <f t="shared" si="29"/>
        <v>-2727.1094332622401</v>
      </c>
    </row>
    <row r="288" spans="1:10" x14ac:dyDescent="0.35">
      <c r="A288">
        <v>261</v>
      </c>
      <c r="B288">
        <v>7.7499999999999999E-2</v>
      </c>
      <c r="C288">
        <f t="shared" ref="C288:C351" si="30">B288/12</f>
        <v>6.4583333333333333E-3</v>
      </c>
      <c r="D288">
        <v>2727.1094332622401</v>
      </c>
      <c r="E288">
        <v>0</v>
      </c>
      <c r="F288">
        <f t="shared" ref="F288:F351" si="31">D288+E288</f>
        <v>2727.1094332622401</v>
      </c>
      <c r="G288" s="10">
        <f t="shared" ref="G288:G351" si="32">C288*I287</f>
        <v>1294.5173246315519</v>
      </c>
      <c r="H288" s="10">
        <f t="shared" ref="H288:H351" si="33">D288-G288</f>
        <v>1432.5921086306882</v>
      </c>
      <c r="I288" s="10">
        <f t="shared" ref="I288:I351" si="34">I287-H288</f>
        <v>199008.80009238378</v>
      </c>
      <c r="J288">
        <f t="shared" ref="J288:J351" si="35">-F288</f>
        <v>-2727.1094332622401</v>
      </c>
    </row>
    <row r="289" spans="1:10" x14ac:dyDescent="0.35">
      <c r="A289">
        <v>262</v>
      </c>
      <c r="B289">
        <v>7.7499999999999999E-2</v>
      </c>
      <c r="C289">
        <f t="shared" si="30"/>
        <v>6.4583333333333333E-3</v>
      </c>
      <c r="D289">
        <v>2727.1094332622401</v>
      </c>
      <c r="E289">
        <v>0</v>
      </c>
      <c r="F289">
        <f t="shared" si="31"/>
        <v>2727.1094332622401</v>
      </c>
      <c r="G289" s="10">
        <f t="shared" si="32"/>
        <v>1285.2651672633119</v>
      </c>
      <c r="H289" s="10">
        <f t="shared" si="33"/>
        <v>1441.8442659989282</v>
      </c>
      <c r="I289" s="10">
        <f t="shared" si="34"/>
        <v>197566.95582638486</v>
      </c>
      <c r="J289">
        <f t="shared" si="35"/>
        <v>-2727.1094332622401</v>
      </c>
    </row>
    <row r="290" spans="1:10" x14ac:dyDescent="0.35">
      <c r="A290">
        <v>263</v>
      </c>
      <c r="B290">
        <v>7.7499999999999999E-2</v>
      </c>
      <c r="C290">
        <f t="shared" si="30"/>
        <v>6.4583333333333333E-3</v>
      </c>
      <c r="D290">
        <v>2727.1094332622401</v>
      </c>
      <c r="E290">
        <v>0</v>
      </c>
      <c r="F290">
        <f t="shared" si="31"/>
        <v>2727.1094332622401</v>
      </c>
      <c r="G290" s="10">
        <f t="shared" si="32"/>
        <v>1275.9532563787354</v>
      </c>
      <c r="H290" s="10">
        <f t="shared" si="33"/>
        <v>1451.1561768835047</v>
      </c>
      <c r="I290" s="10">
        <f t="shared" si="34"/>
        <v>196115.79964950136</v>
      </c>
      <c r="J290">
        <f t="shared" si="35"/>
        <v>-2727.1094332622401</v>
      </c>
    </row>
    <row r="291" spans="1:10" x14ac:dyDescent="0.35">
      <c r="A291">
        <v>264</v>
      </c>
      <c r="B291">
        <v>7.7499999999999999E-2</v>
      </c>
      <c r="C291">
        <f t="shared" si="30"/>
        <v>6.4583333333333333E-3</v>
      </c>
      <c r="D291">
        <v>2727.1094332622401</v>
      </c>
      <c r="E291">
        <v>0</v>
      </c>
      <c r="F291">
        <f t="shared" si="31"/>
        <v>2727.1094332622401</v>
      </c>
      <c r="G291" s="10">
        <f t="shared" si="32"/>
        <v>1266.5812060696962</v>
      </c>
      <c r="H291" s="10">
        <f t="shared" si="33"/>
        <v>1460.5282271925439</v>
      </c>
      <c r="I291" s="10">
        <f t="shared" si="34"/>
        <v>194655.27142230881</v>
      </c>
      <c r="J291">
        <f t="shared" si="35"/>
        <v>-2727.1094332622401</v>
      </c>
    </row>
    <row r="292" spans="1:10" x14ac:dyDescent="0.35">
      <c r="A292">
        <v>265</v>
      </c>
      <c r="B292">
        <v>7.7499999999999999E-2</v>
      </c>
      <c r="C292">
        <f t="shared" si="30"/>
        <v>6.4583333333333333E-3</v>
      </c>
      <c r="D292">
        <v>2727.1094332622401</v>
      </c>
      <c r="E292">
        <v>0</v>
      </c>
      <c r="F292">
        <f t="shared" si="31"/>
        <v>2727.1094332622401</v>
      </c>
      <c r="G292" s="10">
        <f t="shared" si="32"/>
        <v>1257.1486279357443</v>
      </c>
      <c r="H292" s="10">
        <f t="shared" si="33"/>
        <v>1469.9608053264958</v>
      </c>
      <c r="I292" s="10">
        <f t="shared" si="34"/>
        <v>193185.31061698231</v>
      </c>
      <c r="J292">
        <f t="shared" si="35"/>
        <v>-2727.1094332622401</v>
      </c>
    </row>
    <row r="293" spans="1:10" x14ac:dyDescent="0.35">
      <c r="A293">
        <v>266</v>
      </c>
      <c r="B293">
        <v>7.7499999999999999E-2</v>
      </c>
      <c r="C293">
        <f t="shared" si="30"/>
        <v>6.4583333333333333E-3</v>
      </c>
      <c r="D293">
        <v>2727.1094332622401</v>
      </c>
      <c r="E293">
        <v>0</v>
      </c>
      <c r="F293">
        <f t="shared" si="31"/>
        <v>2727.1094332622401</v>
      </c>
      <c r="G293" s="10">
        <f t="shared" si="32"/>
        <v>1247.6551310680109</v>
      </c>
      <c r="H293" s="10">
        <f t="shared" si="33"/>
        <v>1479.4543021942293</v>
      </c>
      <c r="I293" s="10">
        <f t="shared" si="34"/>
        <v>191705.85631478808</v>
      </c>
      <c r="J293">
        <f t="shared" si="35"/>
        <v>-2727.1094332622401</v>
      </c>
    </row>
    <row r="294" spans="1:10" x14ac:dyDescent="0.35">
      <c r="A294">
        <v>267</v>
      </c>
      <c r="B294">
        <v>7.7499999999999999E-2</v>
      </c>
      <c r="C294">
        <f t="shared" si="30"/>
        <v>6.4583333333333333E-3</v>
      </c>
      <c r="D294">
        <v>2727.1094332622401</v>
      </c>
      <c r="E294">
        <v>0</v>
      </c>
      <c r="F294">
        <f t="shared" si="31"/>
        <v>2727.1094332622401</v>
      </c>
      <c r="G294" s="10">
        <f t="shared" si="32"/>
        <v>1238.1003220330063</v>
      </c>
      <c r="H294" s="10">
        <f t="shared" si="33"/>
        <v>1489.0091112292339</v>
      </c>
      <c r="I294" s="10">
        <f t="shared" si="34"/>
        <v>190216.84720355883</v>
      </c>
      <c r="J294">
        <f t="shared" si="35"/>
        <v>-2727.1094332622401</v>
      </c>
    </row>
    <row r="295" spans="1:10" x14ac:dyDescent="0.35">
      <c r="A295">
        <v>268</v>
      </c>
      <c r="B295">
        <v>7.7499999999999999E-2</v>
      </c>
      <c r="C295">
        <f t="shared" si="30"/>
        <v>6.4583333333333333E-3</v>
      </c>
      <c r="D295">
        <v>2727.1094332622401</v>
      </c>
      <c r="E295">
        <v>0</v>
      </c>
      <c r="F295">
        <f t="shared" si="31"/>
        <v>2727.1094332622401</v>
      </c>
      <c r="G295" s="10">
        <f t="shared" si="32"/>
        <v>1228.4838048563174</v>
      </c>
      <c r="H295" s="10">
        <f t="shared" si="33"/>
        <v>1498.6256284059227</v>
      </c>
      <c r="I295" s="10">
        <f t="shared" si="34"/>
        <v>188718.22157515291</v>
      </c>
      <c r="J295">
        <f t="shared" si="35"/>
        <v>-2727.1094332622401</v>
      </c>
    </row>
    <row r="296" spans="1:10" x14ac:dyDescent="0.35">
      <c r="A296">
        <v>269</v>
      </c>
      <c r="B296">
        <v>7.7499999999999999E-2</v>
      </c>
      <c r="C296">
        <f t="shared" si="30"/>
        <v>6.4583333333333333E-3</v>
      </c>
      <c r="D296">
        <v>2727.1094332622401</v>
      </c>
      <c r="E296">
        <v>0</v>
      </c>
      <c r="F296">
        <f t="shared" si="31"/>
        <v>2727.1094332622401</v>
      </c>
      <c r="G296" s="10">
        <f t="shared" si="32"/>
        <v>1218.8051810061959</v>
      </c>
      <c r="H296" s="10">
        <f t="shared" si="33"/>
        <v>1508.3042522560443</v>
      </c>
      <c r="I296" s="10">
        <f t="shared" si="34"/>
        <v>187209.91732289686</v>
      </c>
      <c r="J296">
        <f t="shared" si="35"/>
        <v>-2727.1094332622401</v>
      </c>
    </row>
    <row r="297" spans="1:10" x14ac:dyDescent="0.35">
      <c r="A297">
        <v>270</v>
      </c>
      <c r="B297">
        <v>7.7499999999999999E-2</v>
      </c>
      <c r="C297">
        <f t="shared" si="30"/>
        <v>6.4583333333333333E-3</v>
      </c>
      <c r="D297">
        <v>2727.1094332622401</v>
      </c>
      <c r="E297">
        <v>0</v>
      </c>
      <c r="F297">
        <f t="shared" si="31"/>
        <v>2727.1094332622401</v>
      </c>
      <c r="G297" s="10">
        <f t="shared" si="32"/>
        <v>1209.0640493770422</v>
      </c>
      <c r="H297" s="10">
        <f t="shared" si="33"/>
        <v>1518.0453838851979</v>
      </c>
      <c r="I297" s="10">
        <f t="shared" si="34"/>
        <v>185691.87193901165</v>
      </c>
      <c r="J297">
        <f t="shared" si="35"/>
        <v>-2727.1094332622401</v>
      </c>
    </row>
    <row r="298" spans="1:10" x14ac:dyDescent="0.35">
      <c r="A298">
        <v>271</v>
      </c>
      <c r="B298">
        <v>7.7499999999999999E-2</v>
      </c>
      <c r="C298">
        <f t="shared" si="30"/>
        <v>6.4583333333333333E-3</v>
      </c>
      <c r="D298">
        <v>2727.1094332622401</v>
      </c>
      <c r="E298">
        <v>0</v>
      </c>
      <c r="F298">
        <f t="shared" si="31"/>
        <v>2727.1094332622401</v>
      </c>
      <c r="G298" s="10">
        <f t="shared" si="32"/>
        <v>1199.2600062727836</v>
      </c>
      <c r="H298" s="10">
        <f t="shared" si="33"/>
        <v>1527.8494269894566</v>
      </c>
      <c r="I298" s="10">
        <f t="shared" si="34"/>
        <v>184164.0225120222</v>
      </c>
      <c r="J298">
        <f t="shared" si="35"/>
        <v>-2727.1094332622401</v>
      </c>
    </row>
    <row r="299" spans="1:10" x14ac:dyDescent="0.35">
      <c r="A299">
        <v>272</v>
      </c>
      <c r="B299">
        <v>7.7499999999999999E-2</v>
      </c>
      <c r="C299">
        <f t="shared" si="30"/>
        <v>6.4583333333333333E-3</v>
      </c>
      <c r="D299">
        <v>2727.1094332622401</v>
      </c>
      <c r="E299">
        <v>0</v>
      </c>
      <c r="F299">
        <f t="shared" si="31"/>
        <v>2727.1094332622401</v>
      </c>
      <c r="G299" s="10">
        <f t="shared" si="32"/>
        <v>1189.3926453901433</v>
      </c>
      <c r="H299" s="10">
        <f t="shared" si="33"/>
        <v>1537.7167878720968</v>
      </c>
      <c r="I299" s="10">
        <f t="shared" si="34"/>
        <v>182626.30572415009</v>
      </c>
      <c r="J299">
        <f t="shared" si="35"/>
        <v>-2727.1094332622401</v>
      </c>
    </row>
    <row r="300" spans="1:10" x14ac:dyDescent="0.35">
      <c r="A300">
        <v>273</v>
      </c>
      <c r="B300">
        <v>7.7499999999999999E-2</v>
      </c>
      <c r="C300">
        <f t="shared" si="30"/>
        <v>6.4583333333333333E-3</v>
      </c>
      <c r="D300">
        <v>2727.1094332622401</v>
      </c>
      <c r="E300">
        <v>0</v>
      </c>
      <c r="F300">
        <f t="shared" si="31"/>
        <v>2727.1094332622401</v>
      </c>
      <c r="G300" s="10">
        <f t="shared" si="32"/>
        <v>1179.4615578018027</v>
      </c>
      <c r="H300" s="10">
        <f t="shared" si="33"/>
        <v>1547.6478754604375</v>
      </c>
      <c r="I300" s="10">
        <f t="shared" si="34"/>
        <v>181078.65784868965</v>
      </c>
      <c r="J300">
        <f t="shared" si="35"/>
        <v>-2727.1094332622401</v>
      </c>
    </row>
    <row r="301" spans="1:10" x14ac:dyDescent="0.35">
      <c r="A301">
        <v>274</v>
      </c>
      <c r="B301">
        <v>7.7499999999999999E-2</v>
      </c>
      <c r="C301">
        <f t="shared" si="30"/>
        <v>6.4583333333333333E-3</v>
      </c>
      <c r="D301">
        <v>2727.1094332622401</v>
      </c>
      <c r="E301">
        <v>0</v>
      </c>
      <c r="F301">
        <f t="shared" si="31"/>
        <v>2727.1094332622401</v>
      </c>
      <c r="G301" s="10">
        <f t="shared" si="32"/>
        <v>1169.466331939454</v>
      </c>
      <c r="H301" s="10">
        <f t="shared" si="33"/>
        <v>1557.6431013227862</v>
      </c>
      <c r="I301" s="10">
        <f t="shared" si="34"/>
        <v>179521.01474736686</v>
      </c>
      <c r="J301">
        <f t="shared" si="35"/>
        <v>-2727.1094332622401</v>
      </c>
    </row>
    <row r="302" spans="1:10" x14ac:dyDescent="0.35">
      <c r="A302">
        <v>275</v>
      </c>
      <c r="B302">
        <v>7.7499999999999999E-2</v>
      </c>
      <c r="C302">
        <f t="shared" si="30"/>
        <v>6.4583333333333333E-3</v>
      </c>
      <c r="D302">
        <v>2727.1094332622401</v>
      </c>
      <c r="E302">
        <v>0</v>
      </c>
      <c r="F302">
        <f t="shared" si="31"/>
        <v>2727.1094332622401</v>
      </c>
      <c r="G302" s="10">
        <f t="shared" si="32"/>
        <v>1159.4065535767443</v>
      </c>
      <c r="H302" s="10">
        <f t="shared" si="33"/>
        <v>1567.7028796854959</v>
      </c>
      <c r="I302" s="10">
        <f t="shared" si="34"/>
        <v>177953.31186768136</v>
      </c>
      <c r="J302">
        <f t="shared" si="35"/>
        <v>-2727.1094332622401</v>
      </c>
    </row>
    <row r="303" spans="1:10" x14ac:dyDescent="0.35">
      <c r="A303">
        <v>276</v>
      </c>
      <c r="B303">
        <v>7.7499999999999999E-2</v>
      </c>
      <c r="C303">
        <f t="shared" si="30"/>
        <v>6.4583333333333333E-3</v>
      </c>
      <c r="D303">
        <v>2727.1094332622401</v>
      </c>
      <c r="E303">
        <v>0</v>
      </c>
      <c r="F303">
        <f t="shared" si="31"/>
        <v>2727.1094332622401</v>
      </c>
      <c r="G303" s="10">
        <f t="shared" si="32"/>
        <v>1149.2818058121088</v>
      </c>
      <c r="H303" s="10">
        <f t="shared" si="33"/>
        <v>1577.8276274501313</v>
      </c>
      <c r="I303" s="10">
        <f t="shared" si="34"/>
        <v>176375.48424023122</v>
      </c>
      <c r="J303">
        <f t="shared" si="35"/>
        <v>-2727.1094332622401</v>
      </c>
    </row>
    <row r="304" spans="1:10" x14ac:dyDescent="0.35">
      <c r="A304">
        <v>277</v>
      </c>
      <c r="B304">
        <v>7.7499999999999999E-2</v>
      </c>
      <c r="C304">
        <f t="shared" si="30"/>
        <v>6.4583333333333333E-3</v>
      </c>
      <c r="D304">
        <v>2727.1094332622401</v>
      </c>
      <c r="E304">
        <v>0</v>
      </c>
      <c r="F304">
        <f t="shared" si="31"/>
        <v>2727.1094332622401</v>
      </c>
      <c r="G304" s="10">
        <f t="shared" si="32"/>
        <v>1139.0916690514932</v>
      </c>
      <c r="H304" s="10">
        <f t="shared" si="33"/>
        <v>1588.0177642107469</v>
      </c>
      <c r="I304" s="10">
        <f t="shared" si="34"/>
        <v>174787.46647602046</v>
      </c>
      <c r="J304">
        <f t="shared" si="35"/>
        <v>-2727.1094332622401</v>
      </c>
    </row>
    <row r="305" spans="1:10" x14ac:dyDescent="0.35">
      <c r="A305">
        <v>278</v>
      </c>
      <c r="B305">
        <v>7.7499999999999999E-2</v>
      </c>
      <c r="C305">
        <f t="shared" si="30"/>
        <v>6.4583333333333333E-3</v>
      </c>
      <c r="D305">
        <v>2727.1094332622401</v>
      </c>
      <c r="E305">
        <v>0</v>
      </c>
      <c r="F305">
        <f t="shared" si="31"/>
        <v>2727.1094332622401</v>
      </c>
      <c r="G305" s="10">
        <f t="shared" si="32"/>
        <v>1128.8357209909655</v>
      </c>
      <c r="H305" s="10">
        <f t="shared" si="33"/>
        <v>1598.2737122712747</v>
      </c>
      <c r="I305" s="10">
        <f t="shared" si="34"/>
        <v>173189.19276374919</v>
      </c>
      <c r="J305">
        <f t="shared" si="35"/>
        <v>-2727.1094332622401</v>
      </c>
    </row>
    <row r="306" spans="1:10" x14ac:dyDescent="0.35">
      <c r="A306">
        <v>279</v>
      </c>
      <c r="B306">
        <v>7.7499999999999999E-2</v>
      </c>
      <c r="C306">
        <f t="shared" si="30"/>
        <v>6.4583333333333333E-3</v>
      </c>
      <c r="D306">
        <v>2727.1094332622401</v>
      </c>
      <c r="E306">
        <v>0</v>
      </c>
      <c r="F306">
        <f t="shared" si="31"/>
        <v>2727.1094332622401</v>
      </c>
      <c r="G306" s="10">
        <f t="shared" si="32"/>
        <v>1118.5135365992135</v>
      </c>
      <c r="H306" s="10">
        <f t="shared" si="33"/>
        <v>1608.5958966630267</v>
      </c>
      <c r="I306" s="10">
        <f t="shared" si="34"/>
        <v>171580.59686708616</v>
      </c>
      <c r="J306">
        <f t="shared" si="35"/>
        <v>-2727.1094332622401</v>
      </c>
    </row>
    <row r="307" spans="1:10" x14ac:dyDescent="0.35">
      <c r="A307">
        <v>280</v>
      </c>
      <c r="B307">
        <v>7.7499999999999999E-2</v>
      </c>
      <c r="C307">
        <f t="shared" si="30"/>
        <v>6.4583333333333333E-3</v>
      </c>
      <c r="D307">
        <v>2727.1094332622401</v>
      </c>
      <c r="E307">
        <v>0</v>
      </c>
      <c r="F307">
        <f t="shared" si="31"/>
        <v>2727.1094332622401</v>
      </c>
      <c r="G307" s="10">
        <f t="shared" si="32"/>
        <v>1108.1246880999315</v>
      </c>
      <c r="H307" s="10">
        <f t="shared" si="33"/>
        <v>1618.9847451623086</v>
      </c>
      <c r="I307" s="10">
        <f t="shared" si="34"/>
        <v>169961.61212192386</v>
      </c>
      <c r="J307">
        <f t="shared" si="35"/>
        <v>-2727.1094332622401</v>
      </c>
    </row>
    <row r="308" spans="1:10" x14ac:dyDescent="0.35">
      <c r="A308">
        <v>281</v>
      </c>
      <c r="B308">
        <v>7.7499999999999999E-2</v>
      </c>
      <c r="C308">
        <f t="shared" si="30"/>
        <v>6.4583333333333333E-3</v>
      </c>
      <c r="D308">
        <v>2727.1094332622401</v>
      </c>
      <c r="E308">
        <v>0</v>
      </c>
      <c r="F308">
        <f t="shared" si="31"/>
        <v>2727.1094332622401</v>
      </c>
      <c r="G308" s="10">
        <f t="shared" si="32"/>
        <v>1097.6687449540916</v>
      </c>
      <c r="H308" s="10">
        <f t="shared" si="33"/>
        <v>1629.4406883081485</v>
      </c>
      <c r="I308" s="10">
        <f t="shared" si="34"/>
        <v>168332.1714336157</v>
      </c>
      <c r="J308">
        <f t="shared" si="35"/>
        <v>-2727.1094332622401</v>
      </c>
    </row>
    <row r="309" spans="1:10" x14ac:dyDescent="0.35">
      <c r="A309">
        <v>282</v>
      </c>
      <c r="B309">
        <v>7.7499999999999999E-2</v>
      </c>
      <c r="C309">
        <f t="shared" si="30"/>
        <v>6.4583333333333333E-3</v>
      </c>
      <c r="D309">
        <v>2727.1094332622401</v>
      </c>
      <c r="E309">
        <v>0</v>
      </c>
      <c r="F309">
        <f t="shared" si="31"/>
        <v>2727.1094332622401</v>
      </c>
      <c r="G309" s="10">
        <f t="shared" si="32"/>
        <v>1087.1452738421015</v>
      </c>
      <c r="H309" s="10">
        <f t="shared" si="33"/>
        <v>1639.9641594201387</v>
      </c>
      <c r="I309" s="10">
        <f t="shared" si="34"/>
        <v>166692.20727419556</v>
      </c>
      <c r="J309">
        <f t="shared" si="35"/>
        <v>-2727.1094332622401</v>
      </c>
    </row>
    <row r="310" spans="1:10" x14ac:dyDescent="0.35">
      <c r="A310">
        <v>283</v>
      </c>
      <c r="B310">
        <v>7.7499999999999999E-2</v>
      </c>
      <c r="C310">
        <f t="shared" si="30"/>
        <v>6.4583333333333333E-3</v>
      </c>
      <c r="D310">
        <v>2727.1094332622401</v>
      </c>
      <c r="E310">
        <v>0</v>
      </c>
      <c r="F310">
        <f t="shared" si="31"/>
        <v>2727.1094332622401</v>
      </c>
      <c r="G310" s="10">
        <f t="shared" si="32"/>
        <v>1076.5538386458463</v>
      </c>
      <c r="H310" s="10">
        <f t="shared" si="33"/>
        <v>1650.5555946163938</v>
      </c>
      <c r="I310" s="10">
        <f t="shared" si="34"/>
        <v>165041.65167957917</v>
      </c>
      <c r="J310">
        <f t="shared" si="35"/>
        <v>-2727.1094332622401</v>
      </c>
    </row>
    <row r="311" spans="1:10" x14ac:dyDescent="0.35">
      <c r="A311">
        <v>284</v>
      </c>
      <c r="B311">
        <v>7.7499999999999999E-2</v>
      </c>
      <c r="C311">
        <f t="shared" si="30"/>
        <v>6.4583333333333333E-3</v>
      </c>
      <c r="D311">
        <v>2727.1094332622401</v>
      </c>
      <c r="E311">
        <v>0</v>
      </c>
      <c r="F311">
        <f t="shared" si="31"/>
        <v>2727.1094332622401</v>
      </c>
      <c r="G311" s="10">
        <f t="shared" si="32"/>
        <v>1065.8940004306155</v>
      </c>
      <c r="H311" s="10">
        <f t="shared" si="33"/>
        <v>1661.2154328316246</v>
      </c>
      <c r="I311" s="10">
        <f t="shared" si="34"/>
        <v>163380.43624674756</v>
      </c>
      <c r="J311">
        <f t="shared" si="35"/>
        <v>-2727.1094332622401</v>
      </c>
    </row>
    <row r="312" spans="1:10" x14ac:dyDescent="0.35">
      <c r="A312">
        <v>285</v>
      </c>
      <c r="B312">
        <v>7.7499999999999999E-2</v>
      </c>
      <c r="C312">
        <f t="shared" si="30"/>
        <v>6.4583333333333333E-3</v>
      </c>
      <c r="D312">
        <v>2727.1094332622401</v>
      </c>
      <c r="E312">
        <v>0</v>
      </c>
      <c r="F312">
        <f t="shared" si="31"/>
        <v>2727.1094332622401</v>
      </c>
      <c r="G312" s="10">
        <f t="shared" si="32"/>
        <v>1055.1653174269113</v>
      </c>
      <c r="H312" s="10">
        <f t="shared" si="33"/>
        <v>1671.9441158353288</v>
      </c>
      <c r="I312" s="10">
        <f t="shared" si="34"/>
        <v>161708.49213091223</v>
      </c>
      <c r="J312">
        <f t="shared" si="35"/>
        <v>-2727.1094332622401</v>
      </c>
    </row>
    <row r="313" spans="1:10" x14ac:dyDescent="0.35">
      <c r="A313">
        <v>286</v>
      </c>
      <c r="B313">
        <v>7.7499999999999999E-2</v>
      </c>
      <c r="C313">
        <f t="shared" si="30"/>
        <v>6.4583333333333333E-3</v>
      </c>
      <c r="D313">
        <v>2727.1094332622401</v>
      </c>
      <c r="E313">
        <v>0</v>
      </c>
      <c r="F313">
        <f t="shared" si="31"/>
        <v>2727.1094332622401</v>
      </c>
      <c r="G313" s="10">
        <f t="shared" si="32"/>
        <v>1044.3673450121414</v>
      </c>
      <c r="H313" s="10">
        <f t="shared" si="33"/>
        <v>1682.7420882500987</v>
      </c>
      <c r="I313" s="10">
        <f t="shared" si="34"/>
        <v>160025.75004266214</v>
      </c>
      <c r="J313">
        <f t="shared" si="35"/>
        <v>-2727.1094332622401</v>
      </c>
    </row>
    <row r="314" spans="1:10" x14ac:dyDescent="0.35">
      <c r="A314">
        <v>287</v>
      </c>
      <c r="B314">
        <v>7.7499999999999999E-2</v>
      </c>
      <c r="C314">
        <f t="shared" si="30"/>
        <v>6.4583333333333333E-3</v>
      </c>
      <c r="D314">
        <v>2727.1094332622401</v>
      </c>
      <c r="E314">
        <v>0</v>
      </c>
      <c r="F314">
        <f t="shared" si="31"/>
        <v>2727.1094332622401</v>
      </c>
      <c r="G314" s="10">
        <f t="shared" si="32"/>
        <v>1033.4996356921929</v>
      </c>
      <c r="H314" s="10">
        <f t="shared" si="33"/>
        <v>1693.6097975700472</v>
      </c>
      <c r="I314" s="10">
        <f t="shared" si="34"/>
        <v>158332.1402450921</v>
      </c>
      <c r="J314">
        <f t="shared" si="35"/>
        <v>-2727.1094332622401</v>
      </c>
    </row>
    <row r="315" spans="1:10" x14ac:dyDescent="0.35">
      <c r="A315">
        <v>288</v>
      </c>
      <c r="B315">
        <v>7.7499999999999999E-2</v>
      </c>
      <c r="C315">
        <f t="shared" si="30"/>
        <v>6.4583333333333333E-3</v>
      </c>
      <c r="D315">
        <v>2727.1094332622401</v>
      </c>
      <c r="E315">
        <v>0</v>
      </c>
      <c r="F315">
        <f t="shared" si="31"/>
        <v>2727.1094332622401</v>
      </c>
      <c r="G315" s="10">
        <f t="shared" si="32"/>
        <v>1022.5617390828864</v>
      </c>
      <c r="H315" s="10">
        <f t="shared" si="33"/>
        <v>1704.5476941793536</v>
      </c>
      <c r="I315" s="10">
        <f t="shared" si="34"/>
        <v>156627.59255091276</v>
      </c>
      <c r="J315">
        <f t="shared" si="35"/>
        <v>-2727.1094332622401</v>
      </c>
    </row>
    <row r="316" spans="1:10" x14ac:dyDescent="0.35">
      <c r="A316">
        <v>289</v>
      </c>
      <c r="B316">
        <v>7.7499999999999999E-2</v>
      </c>
      <c r="C316">
        <f t="shared" si="30"/>
        <v>6.4583333333333333E-3</v>
      </c>
      <c r="D316">
        <v>2727.1094332622401</v>
      </c>
      <c r="E316">
        <v>0</v>
      </c>
      <c r="F316">
        <f t="shared" si="31"/>
        <v>2727.1094332622401</v>
      </c>
      <c r="G316" s="10">
        <f t="shared" si="32"/>
        <v>1011.5532018913116</v>
      </c>
      <c r="H316" s="10">
        <f t="shared" si="33"/>
        <v>1715.5562313709286</v>
      </c>
      <c r="I316" s="10">
        <f t="shared" si="34"/>
        <v>154912.03631954183</v>
      </c>
      <c r="J316">
        <f t="shared" si="35"/>
        <v>-2727.1094332622401</v>
      </c>
    </row>
    <row r="317" spans="1:10" x14ac:dyDescent="0.35">
      <c r="A317">
        <v>290</v>
      </c>
      <c r="B317">
        <v>7.7499999999999999E-2</v>
      </c>
      <c r="C317">
        <f t="shared" si="30"/>
        <v>6.4583333333333333E-3</v>
      </c>
      <c r="D317">
        <v>2727.1094332622401</v>
      </c>
      <c r="E317">
        <v>0</v>
      </c>
      <c r="F317">
        <f t="shared" si="31"/>
        <v>2727.1094332622401</v>
      </c>
      <c r="G317" s="10">
        <f t="shared" si="32"/>
        <v>1000.473567897041</v>
      </c>
      <c r="H317" s="10">
        <f t="shared" si="33"/>
        <v>1726.6358653651992</v>
      </c>
      <c r="I317" s="10">
        <f t="shared" si="34"/>
        <v>153185.40045417662</v>
      </c>
      <c r="J317">
        <f t="shared" si="35"/>
        <v>-2727.1094332622401</v>
      </c>
    </row>
    <row r="318" spans="1:10" x14ac:dyDescent="0.35">
      <c r="A318">
        <v>291</v>
      </c>
      <c r="B318">
        <v>7.7499999999999999E-2</v>
      </c>
      <c r="C318">
        <f t="shared" si="30"/>
        <v>6.4583333333333333E-3</v>
      </c>
      <c r="D318">
        <v>2727.1094332622401</v>
      </c>
      <c r="E318">
        <v>0</v>
      </c>
      <c r="F318">
        <f t="shared" si="31"/>
        <v>2727.1094332622401</v>
      </c>
      <c r="G318" s="10">
        <f t="shared" si="32"/>
        <v>989.32237793322395</v>
      </c>
      <c r="H318" s="10">
        <f t="shared" si="33"/>
        <v>1737.7870553290163</v>
      </c>
      <c r="I318" s="10">
        <f t="shared" si="34"/>
        <v>151447.61339884761</v>
      </c>
      <c r="J318">
        <f t="shared" si="35"/>
        <v>-2727.1094332622401</v>
      </c>
    </row>
    <row r="319" spans="1:10" x14ac:dyDescent="0.35">
      <c r="A319">
        <v>292</v>
      </c>
      <c r="B319">
        <v>7.7499999999999999E-2</v>
      </c>
      <c r="C319">
        <f t="shared" si="30"/>
        <v>6.4583333333333333E-3</v>
      </c>
      <c r="D319">
        <v>2727.1094332622401</v>
      </c>
      <c r="E319">
        <v>0</v>
      </c>
      <c r="F319">
        <f t="shared" si="31"/>
        <v>2727.1094332622401</v>
      </c>
      <c r="G319" s="10">
        <f t="shared" si="32"/>
        <v>978.09916986755741</v>
      </c>
      <c r="H319" s="10">
        <f t="shared" si="33"/>
        <v>1749.0102633946826</v>
      </c>
      <c r="I319" s="10">
        <f t="shared" si="34"/>
        <v>149698.60313545293</v>
      </c>
      <c r="J319">
        <f t="shared" si="35"/>
        <v>-2727.1094332622401</v>
      </c>
    </row>
    <row r="320" spans="1:10" x14ac:dyDescent="0.35">
      <c r="A320">
        <v>293</v>
      </c>
      <c r="B320">
        <v>7.7499999999999999E-2</v>
      </c>
      <c r="C320">
        <f t="shared" si="30"/>
        <v>6.4583333333333333E-3</v>
      </c>
      <c r="D320">
        <v>2727.1094332622401</v>
      </c>
      <c r="E320">
        <v>0</v>
      </c>
      <c r="F320">
        <f t="shared" si="31"/>
        <v>2727.1094332622401</v>
      </c>
      <c r="G320" s="10">
        <f t="shared" si="32"/>
        <v>966.80347858313348</v>
      </c>
      <c r="H320" s="10">
        <f t="shared" si="33"/>
        <v>1760.3059546791067</v>
      </c>
      <c r="I320" s="10">
        <f t="shared" si="34"/>
        <v>147938.29718077381</v>
      </c>
      <c r="J320">
        <f t="shared" si="35"/>
        <v>-2727.1094332622401</v>
      </c>
    </row>
    <row r="321" spans="1:10" x14ac:dyDescent="0.35">
      <c r="A321">
        <v>294</v>
      </c>
      <c r="B321">
        <v>7.7499999999999999E-2</v>
      </c>
      <c r="C321">
        <f t="shared" si="30"/>
        <v>6.4583333333333333E-3</v>
      </c>
      <c r="D321">
        <v>2727.1094332622401</v>
      </c>
      <c r="E321">
        <v>0</v>
      </c>
      <c r="F321">
        <f t="shared" si="31"/>
        <v>2727.1094332622401</v>
      </c>
      <c r="G321" s="10">
        <f t="shared" si="32"/>
        <v>955.43483595916416</v>
      </c>
      <c r="H321" s="10">
        <f t="shared" si="33"/>
        <v>1771.6745973030761</v>
      </c>
      <c r="I321" s="10">
        <f t="shared" si="34"/>
        <v>146166.62258347074</v>
      </c>
      <c r="J321">
        <f t="shared" si="35"/>
        <v>-2727.1094332622401</v>
      </c>
    </row>
    <row r="322" spans="1:10" x14ac:dyDescent="0.35">
      <c r="A322">
        <v>295</v>
      </c>
      <c r="B322">
        <v>7.7499999999999999E-2</v>
      </c>
      <c r="C322">
        <f t="shared" si="30"/>
        <v>6.4583333333333333E-3</v>
      </c>
      <c r="D322">
        <v>2727.1094332622401</v>
      </c>
      <c r="E322">
        <v>0</v>
      </c>
      <c r="F322">
        <f t="shared" si="31"/>
        <v>2727.1094332622401</v>
      </c>
      <c r="G322" s="10">
        <f t="shared" si="32"/>
        <v>943.99277085158189</v>
      </c>
      <c r="H322" s="10">
        <f t="shared" si="33"/>
        <v>1783.1166624106581</v>
      </c>
      <c r="I322" s="10">
        <f t="shared" si="34"/>
        <v>144383.50592106007</v>
      </c>
      <c r="J322">
        <f t="shared" si="35"/>
        <v>-2727.1094332622401</v>
      </c>
    </row>
    <row r="323" spans="1:10" x14ac:dyDescent="0.35">
      <c r="A323">
        <v>296</v>
      </c>
      <c r="B323">
        <v>7.7499999999999999E-2</v>
      </c>
      <c r="C323">
        <f t="shared" si="30"/>
        <v>6.4583333333333333E-3</v>
      </c>
      <c r="D323">
        <v>2727.1094332622401</v>
      </c>
      <c r="E323">
        <v>0</v>
      </c>
      <c r="F323">
        <f t="shared" si="31"/>
        <v>2727.1094332622401</v>
      </c>
      <c r="G323" s="10">
        <f t="shared" si="32"/>
        <v>932.47680907351298</v>
      </c>
      <c r="H323" s="10">
        <f t="shared" si="33"/>
        <v>1794.6326241887273</v>
      </c>
      <c r="I323" s="10">
        <f t="shared" si="34"/>
        <v>142588.87329687134</v>
      </c>
      <c r="J323">
        <f t="shared" si="35"/>
        <v>-2727.1094332622401</v>
      </c>
    </row>
    <row r="324" spans="1:10" x14ac:dyDescent="0.35">
      <c r="A324">
        <v>297</v>
      </c>
      <c r="B324">
        <v>7.7499999999999999E-2</v>
      </c>
      <c r="C324">
        <f t="shared" si="30"/>
        <v>6.4583333333333333E-3</v>
      </c>
      <c r="D324">
        <v>2727.1094332622401</v>
      </c>
      <c r="E324">
        <v>0</v>
      </c>
      <c r="F324">
        <f t="shared" si="31"/>
        <v>2727.1094332622401</v>
      </c>
      <c r="G324" s="10">
        <f t="shared" si="32"/>
        <v>920.88647337562747</v>
      </c>
      <c r="H324" s="10">
        <f t="shared" si="33"/>
        <v>1806.2229598866127</v>
      </c>
      <c r="I324" s="10">
        <f t="shared" si="34"/>
        <v>140782.65033698472</v>
      </c>
      <c r="J324">
        <f t="shared" si="35"/>
        <v>-2727.1094332622401</v>
      </c>
    </row>
    <row r="325" spans="1:10" x14ac:dyDescent="0.35">
      <c r="A325">
        <v>298</v>
      </c>
      <c r="B325">
        <v>7.7499999999999999E-2</v>
      </c>
      <c r="C325">
        <f t="shared" si="30"/>
        <v>6.4583333333333333E-3</v>
      </c>
      <c r="D325">
        <v>2727.1094332622401</v>
      </c>
      <c r="E325">
        <v>0</v>
      </c>
      <c r="F325">
        <f t="shared" si="31"/>
        <v>2727.1094332622401</v>
      </c>
      <c r="G325" s="10">
        <f t="shared" si="32"/>
        <v>909.22128342635961</v>
      </c>
      <c r="H325" s="10">
        <f t="shared" si="33"/>
        <v>1817.8881498358805</v>
      </c>
      <c r="I325" s="10">
        <f t="shared" si="34"/>
        <v>138964.76218714885</v>
      </c>
      <c r="J325">
        <f t="shared" si="35"/>
        <v>-2727.1094332622401</v>
      </c>
    </row>
    <row r="326" spans="1:10" x14ac:dyDescent="0.35">
      <c r="A326">
        <v>299</v>
      </c>
      <c r="B326">
        <v>7.7499999999999999E-2</v>
      </c>
      <c r="C326">
        <f t="shared" si="30"/>
        <v>6.4583333333333333E-3</v>
      </c>
      <c r="D326">
        <v>2727.1094332622401</v>
      </c>
      <c r="E326">
        <v>0</v>
      </c>
      <c r="F326">
        <f t="shared" si="31"/>
        <v>2727.1094332622401</v>
      </c>
      <c r="G326" s="10">
        <f t="shared" si="32"/>
        <v>897.48075579200304</v>
      </c>
      <c r="H326" s="10">
        <f t="shared" si="33"/>
        <v>1829.6286774702371</v>
      </c>
      <c r="I326" s="10">
        <f t="shared" si="34"/>
        <v>137135.13350967862</v>
      </c>
      <c r="J326">
        <f t="shared" si="35"/>
        <v>-2727.1094332622401</v>
      </c>
    </row>
    <row r="327" spans="1:10" x14ac:dyDescent="0.35">
      <c r="A327">
        <v>300</v>
      </c>
      <c r="B327">
        <v>7.7499999999999999E-2</v>
      </c>
      <c r="C327">
        <f t="shared" si="30"/>
        <v>6.4583333333333333E-3</v>
      </c>
      <c r="D327">
        <v>2727.1094332622401</v>
      </c>
      <c r="E327">
        <v>0</v>
      </c>
      <c r="F327">
        <f t="shared" si="31"/>
        <v>2727.1094332622401</v>
      </c>
      <c r="G327" s="10">
        <f t="shared" si="32"/>
        <v>885.66440391667447</v>
      </c>
      <c r="H327" s="10">
        <f t="shared" si="33"/>
        <v>1841.4450293455657</v>
      </c>
      <c r="I327" s="10">
        <f t="shared" si="34"/>
        <v>135293.68848033305</v>
      </c>
      <c r="J327">
        <f t="shared" si="35"/>
        <v>-2727.1094332622401</v>
      </c>
    </row>
    <row r="328" spans="1:10" x14ac:dyDescent="0.35">
      <c r="A328">
        <v>301</v>
      </c>
      <c r="B328">
        <v>7.7499999999999999E-2</v>
      </c>
      <c r="C328">
        <f t="shared" si="30"/>
        <v>6.4583333333333333E-3</v>
      </c>
      <c r="D328">
        <v>2727.1094332622401</v>
      </c>
      <c r="E328">
        <v>0</v>
      </c>
      <c r="F328">
        <f t="shared" si="31"/>
        <v>2727.1094332622401</v>
      </c>
      <c r="G328" s="10">
        <f t="shared" si="32"/>
        <v>873.77173810215095</v>
      </c>
      <c r="H328" s="10">
        <f t="shared" si="33"/>
        <v>1853.3376951600892</v>
      </c>
      <c r="I328" s="10">
        <f t="shared" si="34"/>
        <v>133440.35078517295</v>
      </c>
      <c r="J328">
        <f t="shared" si="35"/>
        <v>-2727.1094332622401</v>
      </c>
    </row>
    <row r="329" spans="1:10" x14ac:dyDescent="0.35">
      <c r="A329">
        <v>302</v>
      </c>
      <c r="B329">
        <v>7.7499999999999999E-2</v>
      </c>
      <c r="C329">
        <f t="shared" si="30"/>
        <v>6.4583333333333333E-3</v>
      </c>
      <c r="D329">
        <v>2727.1094332622401</v>
      </c>
      <c r="E329">
        <v>0</v>
      </c>
      <c r="F329">
        <f t="shared" si="31"/>
        <v>2727.1094332622401</v>
      </c>
      <c r="G329" s="10">
        <f t="shared" si="32"/>
        <v>861.80226548757526</v>
      </c>
      <c r="H329" s="10">
        <f t="shared" si="33"/>
        <v>1865.3071677746648</v>
      </c>
      <c r="I329" s="10">
        <f t="shared" si="34"/>
        <v>131575.04361739827</v>
      </c>
      <c r="J329">
        <f t="shared" si="35"/>
        <v>-2727.1094332622401</v>
      </c>
    </row>
    <row r="330" spans="1:10" x14ac:dyDescent="0.35">
      <c r="A330">
        <v>303</v>
      </c>
      <c r="B330">
        <v>7.7499999999999999E-2</v>
      </c>
      <c r="C330">
        <f t="shared" si="30"/>
        <v>6.4583333333333333E-3</v>
      </c>
      <c r="D330">
        <v>2727.1094332622401</v>
      </c>
      <c r="E330">
        <v>0</v>
      </c>
      <c r="F330">
        <f t="shared" si="31"/>
        <v>2727.1094332622401</v>
      </c>
      <c r="G330" s="10">
        <f t="shared" si="32"/>
        <v>849.75549002903051</v>
      </c>
      <c r="H330" s="10">
        <f t="shared" si="33"/>
        <v>1877.3539432332095</v>
      </c>
      <c r="I330" s="10">
        <f t="shared" si="34"/>
        <v>129697.68967416507</v>
      </c>
      <c r="J330">
        <f t="shared" si="35"/>
        <v>-2727.1094332622401</v>
      </c>
    </row>
    <row r="331" spans="1:10" x14ac:dyDescent="0.35">
      <c r="A331">
        <v>304</v>
      </c>
      <c r="B331">
        <v>7.7499999999999999E-2</v>
      </c>
      <c r="C331">
        <f t="shared" si="30"/>
        <v>6.4583333333333333E-3</v>
      </c>
      <c r="D331">
        <v>2727.1094332622401</v>
      </c>
      <c r="E331">
        <v>0</v>
      </c>
      <c r="F331">
        <f t="shared" si="31"/>
        <v>2727.1094332622401</v>
      </c>
      <c r="G331" s="10">
        <f t="shared" si="32"/>
        <v>837.63091247898274</v>
      </c>
      <c r="H331" s="10">
        <f t="shared" si="33"/>
        <v>1889.4785207832574</v>
      </c>
      <c r="I331" s="10">
        <f t="shared" si="34"/>
        <v>127808.21115338181</v>
      </c>
      <c r="J331">
        <f t="shared" si="35"/>
        <v>-2727.1094332622401</v>
      </c>
    </row>
    <row r="332" spans="1:10" x14ac:dyDescent="0.35">
      <c r="A332">
        <v>305</v>
      </c>
      <c r="B332">
        <v>7.7499999999999999E-2</v>
      </c>
      <c r="C332">
        <f t="shared" si="30"/>
        <v>6.4583333333333333E-3</v>
      </c>
      <c r="D332">
        <v>2727.1094332622401</v>
      </c>
      <c r="E332">
        <v>0</v>
      </c>
      <c r="F332">
        <f t="shared" si="31"/>
        <v>2727.1094332622401</v>
      </c>
      <c r="G332" s="10">
        <f t="shared" si="32"/>
        <v>825.42803036559087</v>
      </c>
      <c r="H332" s="10">
        <f t="shared" si="33"/>
        <v>1901.6814028966492</v>
      </c>
      <c r="I332" s="10">
        <f t="shared" si="34"/>
        <v>125906.52975048516</v>
      </c>
      <c r="J332">
        <f t="shared" si="35"/>
        <v>-2727.1094332622401</v>
      </c>
    </row>
    <row r="333" spans="1:10" x14ac:dyDescent="0.35">
      <c r="A333">
        <v>306</v>
      </c>
      <c r="B333">
        <v>7.7499999999999999E-2</v>
      </c>
      <c r="C333">
        <f t="shared" si="30"/>
        <v>6.4583333333333333E-3</v>
      </c>
      <c r="D333">
        <v>2727.1094332622401</v>
      </c>
      <c r="E333">
        <v>0</v>
      </c>
      <c r="F333">
        <f t="shared" si="31"/>
        <v>2727.1094332622401</v>
      </c>
      <c r="G333" s="10">
        <f t="shared" si="32"/>
        <v>813.14633797188333</v>
      </c>
      <c r="H333" s="10">
        <f t="shared" si="33"/>
        <v>1913.9630952903567</v>
      </c>
      <c r="I333" s="10">
        <f t="shared" si="34"/>
        <v>123992.56665519481</v>
      </c>
      <c r="J333">
        <f t="shared" si="35"/>
        <v>-2727.1094332622401</v>
      </c>
    </row>
    <row r="334" spans="1:10" x14ac:dyDescent="0.35">
      <c r="A334">
        <v>307</v>
      </c>
      <c r="B334">
        <v>7.7499999999999999E-2</v>
      </c>
      <c r="C334">
        <f t="shared" si="30"/>
        <v>6.4583333333333333E-3</v>
      </c>
      <c r="D334">
        <v>2727.1094332622401</v>
      </c>
      <c r="E334">
        <v>0</v>
      </c>
      <c r="F334">
        <f t="shared" si="31"/>
        <v>2727.1094332622401</v>
      </c>
      <c r="G334" s="10">
        <f t="shared" si="32"/>
        <v>800.78532631479982</v>
      </c>
      <c r="H334" s="10">
        <f t="shared" si="33"/>
        <v>1926.3241069474402</v>
      </c>
      <c r="I334" s="10">
        <f t="shared" si="34"/>
        <v>122066.24254824736</v>
      </c>
      <c r="J334">
        <f t="shared" si="35"/>
        <v>-2727.1094332622401</v>
      </c>
    </row>
    <row r="335" spans="1:10" x14ac:dyDescent="0.35">
      <c r="A335">
        <v>308</v>
      </c>
      <c r="B335">
        <v>7.7499999999999999E-2</v>
      </c>
      <c r="C335">
        <f t="shared" si="30"/>
        <v>6.4583333333333333E-3</v>
      </c>
      <c r="D335">
        <v>2727.1094332622401</v>
      </c>
      <c r="E335">
        <v>0</v>
      </c>
      <c r="F335">
        <f t="shared" si="31"/>
        <v>2727.1094332622401</v>
      </c>
      <c r="G335" s="10">
        <f t="shared" si="32"/>
        <v>788.34448312409756</v>
      </c>
      <c r="H335" s="10">
        <f t="shared" si="33"/>
        <v>1938.7649501381425</v>
      </c>
      <c r="I335" s="10">
        <f t="shared" si="34"/>
        <v>120127.47759810922</v>
      </c>
      <c r="J335">
        <f t="shared" si="35"/>
        <v>-2727.1094332622401</v>
      </c>
    </row>
    <row r="336" spans="1:10" x14ac:dyDescent="0.35">
      <c r="A336">
        <v>309</v>
      </c>
      <c r="B336">
        <v>7.7499999999999999E-2</v>
      </c>
      <c r="C336">
        <f t="shared" si="30"/>
        <v>6.4583333333333333E-3</v>
      </c>
      <c r="D336">
        <v>2727.1094332622401</v>
      </c>
      <c r="E336">
        <v>0</v>
      </c>
      <c r="F336">
        <f t="shared" si="31"/>
        <v>2727.1094332622401</v>
      </c>
      <c r="G336" s="10">
        <f t="shared" si="32"/>
        <v>775.8232928211221</v>
      </c>
      <c r="H336" s="10">
        <f t="shared" si="33"/>
        <v>1951.2861404411181</v>
      </c>
      <c r="I336" s="10">
        <f t="shared" si="34"/>
        <v>118176.1914576681</v>
      </c>
      <c r="J336">
        <f t="shared" si="35"/>
        <v>-2727.1094332622401</v>
      </c>
    </row>
    <row r="337" spans="1:10" x14ac:dyDescent="0.35">
      <c r="A337">
        <v>310</v>
      </c>
      <c r="B337">
        <v>7.7499999999999999E-2</v>
      </c>
      <c r="C337">
        <f t="shared" si="30"/>
        <v>6.4583333333333333E-3</v>
      </c>
      <c r="D337">
        <v>2727.1094332622401</v>
      </c>
      <c r="E337">
        <v>0</v>
      </c>
      <c r="F337">
        <f t="shared" si="31"/>
        <v>2727.1094332622401</v>
      </c>
      <c r="G337" s="10">
        <f t="shared" si="32"/>
        <v>763.2212364974398</v>
      </c>
      <c r="H337" s="10">
        <f t="shared" si="33"/>
        <v>1963.8881967648003</v>
      </c>
      <c r="I337" s="10">
        <f t="shared" si="34"/>
        <v>116212.3032609033</v>
      </c>
      <c r="J337">
        <f t="shared" si="35"/>
        <v>-2727.1094332622401</v>
      </c>
    </row>
    <row r="338" spans="1:10" x14ac:dyDescent="0.35">
      <c r="A338">
        <v>311</v>
      </c>
      <c r="B338">
        <v>7.7499999999999999E-2</v>
      </c>
      <c r="C338">
        <f t="shared" si="30"/>
        <v>6.4583333333333333E-3</v>
      </c>
      <c r="D338">
        <v>2727.1094332622401</v>
      </c>
      <c r="E338">
        <v>0</v>
      </c>
      <c r="F338">
        <f t="shared" si="31"/>
        <v>2727.1094332622401</v>
      </c>
      <c r="G338" s="10">
        <f t="shared" si="32"/>
        <v>750.53779189333375</v>
      </c>
      <c r="H338" s="10">
        <f t="shared" si="33"/>
        <v>1976.5716413689065</v>
      </c>
      <c r="I338" s="10">
        <f t="shared" si="34"/>
        <v>114235.73161953439</v>
      </c>
      <c r="J338">
        <f t="shared" si="35"/>
        <v>-2727.1094332622401</v>
      </c>
    </row>
    <row r="339" spans="1:10" x14ac:dyDescent="0.35">
      <c r="A339">
        <v>312</v>
      </c>
      <c r="B339">
        <v>7.7499999999999999E-2</v>
      </c>
      <c r="C339">
        <f t="shared" si="30"/>
        <v>6.4583333333333333E-3</v>
      </c>
      <c r="D339">
        <v>2727.1094332622401</v>
      </c>
      <c r="E339">
        <v>0</v>
      </c>
      <c r="F339">
        <f t="shared" si="31"/>
        <v>2727.1094332622401</v>
      </c>
      <c r="G339" s="10">
        <f t="shared" si="32"/>
        <v>737.7724333761596</v>
      </c>
      <c r="H339" s="10">
        <f t="shared" si="33"/>
        <v>1989.3369998860805</v>
      </c>
      <c r="I339" s="10">
        <f t="shared" si="34"/>
        <v>112246.3946196483</v>
      </c>
      <c r="J339">
        <f t="shared" si="35"/>
        <v>-2727.1094332622401</v>
      </c>
    </row>
    <row r="340" spans="1:10" x14ac:dyDescent="0.35">
      <c r="A340">
        <v>313</v>
      </c>
      <c r="B340">
        <v>7.7499999999999999E-2</v>
      </c>
      <c r="C340">
        <f t="shared" si="30"/>
        <v>6.4583333333333333E-3</v>
      </c>
      <c r="D340">
        <v>2727.1094332622401</v>
      </c>
      <c r="E340">
        <v>0</v>
      </c>
      <c r="F340">
        <f t="shared" si="31"/>
        <v>2727.1094332622401</v>
      </c>
      <c r="G340" s="10">
        <f t="shared" si="32"/>
        <v>724.92463191856189</v>
      </c>
      <c r="H340" s="10">
        <f t="shared" si="33"/>
        <v>2002.1848013436784</v>
      </c>
      <c r="I340" s="10">
        <f t="shared" si="34"/>
        <v>110244.20981830462</v>
      </c>
      <c r="J340">
        <f t="shared" si="35"/>
        <v>-2727.1094332622401</v>
      </c>
    </row>
    <row r="341" spans="1:10" x14ac:dyDescent="0.35">
      <c r="A341">
        <v>314</v>
      </c>
      <c r="B341">
        <v>7.7499999999999999E-2</v>
      </c>
      <c r="C341">
        <f t="shared" si="30"/>
        <v>6.4583333333333333E-3</v>
      </c>
      <c r="D341">
        <v>2727.1094332622401</v>
      </c>
      <c r="E341">
        <v>0</v>
      </c>
      <c r="F341">
        <f t="shared" si="31"/>
        <v>2727.1094332622401</v>
      </c>
      <c r="G341" s="10">
        <f t="shared" si="32"/>
        <v>711.99385507655063</v>
      </c>
      <c r="H341" s="10">
        <f t="shared" si="33"/>
        <v>2015.1155781856896</v>
      </c>
      <c r="I341" s="10">
        <f t="shared" si="34"/>
        <v>108229.09424011892</v>
      </c>
      <c r="J341">
        <f t="shared" si="35"/>
        <v>-2727.1094332622401</v>
      </c>
    </row>
    <row r="342" spans="1:10" x14ac:dyDescent="0.35">
      <c r="A342">
        <v>315</v>
      </c>
      <c r="B342">
        <v>7.7499999999999999E-2</v>
      </c>
      <c r="C342">
        <f t="shared" si="30"/>
        <v>6.4583333333333333E-3</v>
      </c>
      <c r="D342">
        <v>2727.1094332622401</v>
      </c>
      <c r="E342">
        <v>0</v>
      </c>
      <c r="F342">
        <f t="shared" si="31"/>
        <v>2727.1094332622401</v>
      </c>
      <c r="G342" s="10">
        <f t="shared" si="32"/>
        <v>698.97956696743472</v>
      </c>
      <c r="H342" s="10">
        <f t="shared" si="33"/>
        <v>2028.1298662948054</v>
      </c>
      <c r="I342" s="10">
        <f t="shared" si="34"/>
        <v>106200.96437382411</v>
      </c>
      <c r="J342">
        <f t="shared" si="35"/>
        <v>-2727.1094332622401</v>
      </c>
    </row>
    <row r="343" spans="1:10" x14ac:dyDescent="0.35">
      <c r="A343">
        <v>316</v>
      </c>
      <c r="B343">
        <v>7.7499999999999999E-2</v>
      </c>
      <c r="C343">
        <f t="shared" si="30"/>
        <v>6.4583333333333333E-3</v>
      </c>
      <c r="D343">
        <v>2727.1094332622401</v>
      </c>
      <c r="E343">
        <v>0</v>
      </c>
      <c r="F343">
        <f t="shared" si="31"/>
        <v>2727.1094332622401</v>
      </c>
      <c r="G343" s="10">
        <f t="shared" si="32"/>
        <v>685.8812282476141</v>
      </c>
      <c r="H343" s="10">
        <f t="shared" si="33"/>
        <v>2041.2282050146259</v>
      </c>
      <c r="I343" s="10">
        <f t="shared" si="34"/>
        <v>104159.73616880948</v>
      </c>
      <c r="J343">
        <f t="shared" si="35"/>
        <v>-2727.1094332622401</v>
      </c>
    </row>
    <row r="344" spans="1:10" x14ac:dyDescent="0.35">
      <c r="A344">
        <v>317</v>
      </c>
      <c r="B344">
        <v>7.7499999999999999E-2</v>
      </c>
      <c r="C344">
        <f t="shared" si="30"/>
        <v>6.4583333333333333E-3</v>
      </c>
      <c r="D344">
        <v>2727.1094332622401</v>
      </c>
      <c r="E344">
        <v>0</v>
      </c>
      <c r="F344">
        <f t="shared" si="31"/>
        <v>2727.1094332622401</v>
      </c>
      <c r="G344" s="10">
        <f t="shared" si="32"/>
        <v>672.69829609022793</v>
      </c>
      <c r="H344" s="10">
        <f t="shared" si="33"/>
        <v>2054.4111371720123</v>
      </c>
      <c r="I344" s="10">
        <f t="shared" si="34"/>
        <v>102105.32503163748</v>
      </c>
      <c r="J344">
        <f t="shared" si="35"/>
        <v>-2727.1094332622401</v>
      </c>
    </row>
    <row r="345" spans="1:10" x14ac:dyDescent="0.35">
      <c r="A345">
        <v>318</v>
      </c>
      <c r="B345">
        <v>7.7499999999999999E-2</v>
      </c>
      <c r="C345">
        <f t="shared" si="30"/>
        <v>6.4583333333333333E-3</v>
      </c>
      <c r="D345">
        <v>2727.1094332622401</v>
      </c>
      <c r="E345">
        <v>0</v>
      </c>
      <c r="F345">
        <f t="shared" si="31"/>
        <v>2727.1094332622401</v>
      </c>
      <c r="G345" s="10">
        <f t="shared" si="32"/>
        <v>659.43022416265865</v>
      </c>
      <c r="H345" s="10">
        <f t="shared" si="33"/>
        <v>2067.6792090995814</v>
      </c>
      <c r="I345" s="10">
        <f t="shared" si="34"/>
        <v>100037.64582253789</v>
      </c>
      <c r="J345">
        <f t="shared" si="35"/>
        <v>-2727.1094332622401</v>
      </c>
    </row>
    <row r="346" spans="1:10" x14ac:dyDescent="0.35">
      <c r="A346">
        <v>319</v>
      </c>
      <c r="B346">
        <v>7.7499999999999999E-2</v>
      </c>
      <c r="C346">
        <f t="shared" si="30"/>
        <v>6.4583333333333333E-3</v>
      </c>
      <c r="D346">
        <v>2727.1094332622401</v>
      </c>
      <c r="E346">
        <v>0</v>
      </c>
      <c r="F346">
        <f t="shared" si="31"/>
        <v>2727.1094332622401</v>
      </c>
      <c r="G346" s="10">
        <f t="shared" si="32"/>
        <v>646.07646260389049</v>
      </c>
      <c r="H346" s="10">
        <f t="shared" si="33"/>
        <v>2081.0329706583498</v>
      </c>
      <c r="I346" s="10">
        <f t="shared" si="34"/>
        <v>97956.612851879545</v>
      </c>
      <c r="J346">
        <f t="shared" si="35"/>
        <v>-2727.1094332622401</v>
      </c>
    </row>
    <row r="347" spans="1:10" x14ac:dyDescent="0.35">
      <c r="A347">
        <v>320</v>
      </c>
      <c r="B347">
        <v>7.7499999999999999E-2</v>
      </c>
      <c r="C347">
        <f t="shared" si="30"/>
        <v>6.4583333333333333E-3</v>
      </c>
      <c r="D347">
        <v>2727.1094332622401</v>
      </c>
      <c r="E347">
        <v>0</v>
      </c>
      <c r="F347">
        <f t="shared" si="31"/>
        <v>2727.1094332622401</v>
      </c>
      <c r="G347" s="10">
        <f t="shared" si="32"/>
        <v>632.63645800172208</v>
      </c>
      <c r="H347" s="10">
        <f t="shared" si="33"/>
        <v>2094.4729752605181</v>
      </c>
      <c r="I347" s="10">
        <f t="shared" si="34"/>
        <v>95862.139876619025</v>
      </c>
      <c r="J347">
        <f t="shared" si="35"/>
        <v>-2727.1094332622401</v>
      </c>
    </row>
    <row r="348" spans="1:10" x14ac:dyDescent="0.35">
      <c r="A348">
        <v>321</v>
      </c>
      <c r="B348">
        <v>7.7499999999999999E-2</v>
      </c>
      <c r="C348">
        <f t="shared" si="30"/>
        <v>6.4583333333333333E-3</v>
      </c>
      <c r="D348">
        <v>2727.1094332622401</v>
      </c>
      <c r="E348">
        <v>0</v>
      </c>
      <c r="F348">
        <f t="shared" si="31"/>
        <v>2727.1094332622401</v>
      </c>
      <c r="G348" s="10">
        <f t="shared" si="32"/>
        <v>619.10965336983122</v>
      </c>
      <c r="H348" s="10">
        <f t="shared" si="33"/>
        <v>2107.9997798924087</v>
      </c>
      <c r="I348" s="10">
        <f t="shared" si="34"/>
        <v>93754.140096726624</v>
      </c>
      <c r="J348">
        <f t="shared" si="35"/>
        <v>-2727.1094332622401</v>
      </c>
    </row>
    <row r="349" spans="1:10" x14ac:dyDescent="0.35">
      <c r="A349">
        <v>322</v>
      </c>
      <c r="B349">
        <v>7.7499999999999999E-2</v>
      </c>
      <c r="C349">
        <f t="shared" si="30"/>
        <v>6.4583333333333333E-3</v>
      </c>
      <c r="D349">
        <v>2727.1094332622401</v>
      </c>
      <c r="E349">
        <v>0</v>
      </c>
      <c r="F349">
        <f t="shared" si="31"/>
        <v>2727.1094332622401</v>
      </c>
      <c r="G349" s="10">
        <f t="shared" si="32"/>
        <v>605.49548812469277</v>
      </c>
      <c r="H349" s="10">
        <f t="shared" si="33"/>
        <v>2121.6139451375475</v>
      </c>
      <c r="I349" s="10">
        <f t="shared" si="34"/>
        <v>91632.526151589074</v>
      </c>
      <c r="J349">
        <f t="shared" si="35"/>
        <v>-2727.1094332622401</v>
      </c>
    </row>
    <row r="350" spans="1:10" x14ac:dyDescent="0.35">
      <c r="A350">
        <v>323</v>
      </c>
      <c r="B350">
        <v>7.7499999999999999E-2</v>
      </c>
      <c r="C350">
        <f t="shared" si="30"/>
        <v>6.4583333333333333E-3</v>
      </c>
      <c r="D350">
        <v>2727.1094332622401</v>
      </c>
      <c r="E350">
        <v>0</v>
      </c>
      <c r="F350">
        <f t="shared" si="31"/>
        <v>2727.1094332622401</v>
      </c>
      <c r="G350" s="10">
        <f t="shared" si="32"/>
        <v>591.79339806234611</v>
      </c>
      <c r="H350" s="10">
        <f t="shared" si="33"/>
        <v>2135.316035199894</v>
      </c>
      <c r="I350" s="10">
        <f t="shared" si="34"/>
        <v>89497.210116389178</v>
      </c>
      <c r="J350">
        <f t="shared" si="35"/>
        <v>-2727.1094332622401</v>
      </c>
    </row>
    <row r="351" spans="1:10" x14ac:dyDescent="0.35">
      <c r="A351">
        <v>324</v>
      </c>
      <c r="B351">
        <v>7.7499999999999999E-2</v>
      </c>
      <c r="C351">
        <f t="shared" si="30"/>
        <v>6.4583333333333333E-3</v>
      </c>
      <c r="D351">
        <v>2727.1094332622401</v>
      </c>
      <c r="E351">
        <v>0</v>
      </c>
      <c r="F351">
        <f t="shared" si="31"/>
        <v>2727.1094332622401</v>
      </c>
      <c r="G351" s="10">
        <f t="shared" si="32"/>
        <v>578.00281533501345</v>
      </c>
      <c r="H351" s="10">
        <f t="shared" si="33"/>
        <v>2149.1066179272266</v>
      </c>
      <c r="I351" s="10">
        <f t="shared" si="34"/>
        <v>87348.103498461947</v>
      </c>
      <c r="J351">
        <f t="shared" si="35"/>
        <v>-2727.1094332622401</v>
      </c>
    </row>
    <row r="352" spans="1:10" x14ac:dyDescent="0.35">
      <c r="A352">
        <v>325</v>
      </c>
      <c r="B352">
        <v>7.7499999999999999E-2</v>
      </c>
      <c r="C352">
        <f t="shared" ref="C352:C387" si="36">B352/12</f>
        <v>6.4583333333333333E-3</v>
      </c>
      <c r="D352">
        <v>2727.1094332622401</v>
      </c>
      <c r="E352">
        <v>0</v>
      </c>
      <c r="F352">
        <f t="shared" ref="F352:F387" si="37">D352+E352</f>
        <v>2727.1094332622401</v>
      </c>
      <c r="G352" s="10">
        <f t="shared" ref="G352:G387" si="38">C352*I351</f>
        <v>564.12316842756672</v>
      </c>
      <c r="H352" s="10">
        <f t="shared" ref="H352:H387" si="39">D352-G352</f>
        <v>2162.9862648346734</v>
      </c>
      <c r="I352" s="10">
        <f t="shared" ref="I352:I387" si="40">I351-H352</f>
        <v>85185.117233627272</v>
      </c>
      <c r="J352">
        <f t="shared" ref="J352:J387" si="41">-F352</f>
        <v>-2727.1094332622401</v>
      </c>
    </row>
    <row r="353" spans="1:10" x14ac:dyDescent="0.35">
      <c r="A353">
        <v>326</v>
      </c>
      <c r="B353">
        <v>7.7499999999999999E-2</v>
      </c>
      <c r="C353">
        <f t="shared" si="36"/>
        <v>6.4583333333333333E-3</v>
      </c>
      <c r="D353">
        <v>2727.1094332622401</v>
      </c>
      <c r="E353">
        <v>0</v>
      </c>
      <c r="F353">
        <f t="shared" si="37"/>
        <v>2727.1094332622401</v>
      </c>
      <c r="G353" s="10">
        <f t="shared" si="38"/>
        <v>550.15388213384279</v>
      </c>
      <c r="H353" s="10">
        <f t="shared" si="39"/>
        <v>2176.9555511283975</v>
      </c>
      <c r="I353" s="10">
        <f t="shared" si="40"/>
        <v>83008.161682498874</v>
      </c>
      <c r="J353">
        <f t="shared" si="41"/>
        <v>-2727.1094332622401</v>
      </c>
    </row>
    <row r="354" spans="1:10" x14ac:dyDescent="0.35">
      <c r="A354">
        <v>327</v>
      </c>
      <c r="B354">
        <v>7.7499999999999999E-2</v>
      </c>
      <c r="C354">
        <f t="shared" si="36"/>
        <v>6.4583333333333333E-3</v>
      </c>
      <c r="D354">
        <v>2727.1094332622401</v>
      </c>
      <c r="E354">
        <v>0</v>
      </c>
      <c r="F354">
        <f t="shared" si="37"/>
        <v>2727.1094332622401</v>
      </c>
      <c r="G354" s="10">
        <f t="shared" si="38"/>
        <v>536.0943775328052</v>
      </c>
      <c r="H354" s="10">
        <f t="shared" si="39"/>
        <v>2191.0150557294351</v>
      </c>
      <c r="I354" s="10">
        <f t="shared" si="40"/>
        <v>80817.146626769434</v>
      </c>
      <c r="J354">
        <f t="shared" si="41"/>
        <v>-2727.1094332622401</v>
      </c>
    </row>
    <row r="355" spans="1:10" x14ac:dyDescent="0.35">
      <c r="A355">
        <v>328</v>
      </c>
      <c r="B355">
        <v>7.7499999999999999E-2</v>
      </c>
      <c r="C355">
        <f t="shared" si="36"/>
        <v>6.4583333333333333E-3</v>
      </c>
      <c r="D355">
        <v>2727.1094332622401</v>
      </c>
      <c r="E355">
        <v>0</v>
      </c>
      <c r="F355">
        <f t="shared" si="37"/>
        <v>2727.1094332622401</v>
      </c>
      <c r="G355" s="10">
        <f t="shared" si="38"/>
        <v>521.94407196455256</v>
      </c>
      <c r="H355" s="10">
        <f t="shared" si="39"/>
        <v>2205.1653612976875</v>
      </c>
      <c r="I355" s="10">
        <f t="shared" si="40"/>
        <v>78611.981265471753</v>
      </c>
      <c r="J355">
        <f t="shared" si="41"/>
        <v>-2727.1094332622401</v>
      </c>
    </row>
    <row r="356" spans="1:10" x14ac:dyDescent="0.35">
      <c r="A356">
        <v>329</v>
      </c>
      <c r="B356">
        <v>7.7499999999999999E-2</v>
      </c>
      <c r="C356">
        <f t="shared" si="36"/>
        <v>6.4583333333333333E-3</v>
      </c>
      <c r="D356">
        <v>2727.1094332622401</v>
      </c>
      <c r="E356">
        <v>0</v>
      </c>
      <c r="F356">
        <f t="shared" si="37"/>
        <v>2727.1094332622401</v>
      </c>
      <c r="G356" s="10">
        <f t="shared" si="38"/>
        <v>507.70237900617172</v>
      </c>
      <c r="H356" s="10">
        <f t="shared" si="39"/>
        <v>2219.4070542560685</v>
      </c>
      <c r="I356" s="10">
        <f t="shared" si="40"/>
        <v>76392.574211215688</v>
      </c>
      <c r="J356">
        <f t="shared" si="41"/>
        <v>-2727.1094332622401</v>
      </c>
    </row>
    <row r="357" spans="1:10" x14ac:dyDescent="0.35">
      <c r="A357">
        <v>330</v>
      </c>
      <c r="B357">
        <v>7.7499999999999999E-2</v>
      </c>
      <c r="C357">
        <f t="shared" si="36"/>
        <v>6.4583333333333333E-3</v>
      </c>
      <c r="D357">
        <v>2727.1094332622401</v>
      </c>
      <c r="E357">
        <v>0</v>
      </c>
      <c r="F357">
        <f t="shared" si="37"/>
        <v>2727.1094332622401</v>
      </c>
      <c r="G357" s="10">
        <f t="shared" si="38"/>
        <v>493.36870844743464</v>
      </c>
      <c r="H357" s="10">
        <f t="shared" si="39"/>
        <v>2233.7407248148056</v>
      </c>
      <c r="I357" s="10">
        <f t="shared" si="40"/>
        <v>74158.833486400879</v>
      </c>
      <c r="J357">
        <f t="shared" si="41"/>
        <v>-2727.1094332622401</v>
      </c>
    </row>
    <row r="358" spans="1:10" x14ac:dyDescent="0.35">
      <c r="A358">
        <v>331</v>
      </c>
      <c r="B358">
        <v>7.7499999999999999E-2</v>
      </c>
      <c r="C358">
        <f t="shared" si="36"/>
        <v>6.4583333333333333E-3</v>
      </c>
      <c r="D358">
        <v>2727.1094332622401</v>
      </c>
      <c r="E358">
        <v>0</v>
      </c>
      <c r="F358">
        <f t="shared" si="37"/>
        <v>2727.1094332622401</v>
      </c>
      <c r="G358" s="10">
        <f t="shared" si="38"/>
        <v>478.94246626633901</v>
      </c>
      <c r="H358" s="10">
        <f t="shared" si="39"/>
        <v>2248.166966995901</v>
      </c>
      <c r="I358" s="10">
        <f t="shared" si="40"/>
        <v>71910.666519404971</v>
      </c>
      <c r="J358">
        <f t="shared" si="41"/>
        <v>-2727.1094332622401</v>
      </c>
    </row>
    <row r="359" spans="1:10" x14ac:dyDescent="0.35">
      <c r="A359">
        <v>332</v>
      </c>
      <c r="B359">
        <v>7.7499999999999999E-2</v>
      </c>
      <c r="C359">
        <f t="shared" si="36"/>
        <v>6.4583333333333333E-3</v>
      </c>
      <c r="D359">
        <v>2727.1094332622401</v>
      </c>
      <c r="E359">
        <v>0</v>
      </c>
      <c r="F359">
        <f t="shared" si="37"/>
        <v>2727.1094332622401</v>
      </c>
      <c r="G359" s="10">
        <f t="shared" si="38"/>
        <v>464.42305460449046</v>
      </c>
      <c r="H359" s="10">
        <f t="shared" si="39"/>
        <v>2262.6863786577496</v>
      </c>
      <c r="I359" s="10">
        <f t="shared" si="40"/>
        <v>69647.980140747226</v>
      </c>
      <c r="J359">
        <f t="shared" si="41"/>
        <v>-2727.1094332622401</v>
      </c>
    </row>
    <row r="360" spans="1:10" x14ac:dyDescent="0.35">
      <c r="A360">
        <v>333</v>
      </c>
      <c r="B360">
        <v>7.7499999999999999E-2</v>
      </c>
      <c r="C360">
        <f t="shared" si="36"/>
        <v>6.4583333333333333E-3</v>
      </c>
      <c r="D360">
        <v>2727.1094332622401</v>
      </c>
      <c r="E360">
        <v>0</v>
      </c>
      <c r="F360">
        <f t="shared" si="37"/>
        <v>2727.1094332622401</v>
      </c>
      <c r="G360" s="10">
        <f t="shared" si="38"/>
        <v>449.80987174232581</v>
      </c>
      <c r="H360" s="10">
        <f t="shared" si="39"/>
        <v>2277.2995615199143</v>
      </c>
      <c r="I360" s="10">
        <f t="shared" si="40"/>
        <v>67370.680579227308</v>
      </c>
      <c r="J360">
        <f t="shared" si="41"/>
        <v>-2727.1094332622401</v>
      </c>
    </row>
    <row r="361" spans="1:10" x14ac:dyDescent="0.35">
      <c r="A361">
        <v>334</v>
      </c>
      <c r="B361">
        <v>7.7499999999999999E-2</v>
      </c>
      <c r="C361">
        <f t="shared" si="36"/>
        <v>6.4583333333333333E-3</v>
      </c>
      <c r="D361">
        <v>2727.1094332622401</v>
      </c>
      <c r="E361">
        <v>0</v>
      </c>
      <c r="F361">
        <f t="shared" si="37"/>
        <v>2727.1094332622401</v>
      </c>
      <c r="G361" s="10">
        <f t="shared" si="38"/>
        <v>435.10231207417638</v>
      </c>
      <c r="H361" s="10">
        <f t="shared" si="39"/>
        <v>2292.0071211880636</v>
      </c>
      <c r="I361" s="10">
        <f t="shared" si="40"/>
        <v>65078.673458039244</v>
      </c>
      <c r="J361">
        <f t="shared" si="41"/>
        <v>-2727.1094332622401</v>
      </c>
    </row>
    <row r="362" spans="1:10" x14ac:dyDescent="0.35">
      <c r="A362">
        <v>335</v>
      </c>
      <c r="B362">
        <v>7.7499999999999999E-2</v>
      </c>
      <c r="C362">
        <f t="shared" si="36"/>
        <v>6.4583333333333333E-3</v>
      </c>
      <c r="D362">
        <v>2727.1094332622401</v>
      </c>
      <c r="E362">
        <v>0</v>
      </c>
      <c r="F362">
        <f t="shared" si="37"/>
        <v>2727.1094332622401</v>
      </c>
      <c r="G362" s="10">
        <f t="shared" si="38"/>
        <v>420.29976608317014</v>
      </c>
      <c r="H362" s="10">
        <f t="shared" si="39"/>
        <v>2306.8096671790699</v>
      </c>
      <c r="I362" s="10">
        <f t="shared" si="40"/>
        <v>62771.863790860174</v>
      </c>
      <c r="J362">
        <f t="shared" si="41"/>
        <v>-2727.1094332622401</v>
      </c>
    </row>
    <row r="363" spans="1:10" x14ac:dyDescent="0.35">
      <c r="A363">
        <v>336</v>
      </c>
      <c r="B363">
        <v>7.7499999999999999E-2</v>
      </c>
      <c r="C363">
        <f t="shared" si="36"/>
        <v>6.4583333333333333E-3</v>
      </c>
      <c r="D363">
        <v>2727.1094332622401</v>
      </c>
      <c r="E363">
        <v>0</v>
      </c>
      <c r="F363">
        <f t="shared" si="37"/>
        <v>2727.1094332622401</v>
      </c>
      <c r="G363" s="10">
        <f t="shared" si="38"/>
        <v>405.40162031597197</v>
      </c>
      <c r="H363" s="10">
        <f t="shared" si="39"/>
        <v>2321.7078129462679</v>
      </c>
      <c r="I363" s="10">
        <f t="shared" si="40"/>
        <v>60450.155977913906</v>
      </c>
      <c r="J363">
        <f t="shared" si="41"/>
        <v>-2727.1094332622401</v>
      </c>
    </row>
    <row r="364" spans="1:10" x14ac:dyDescent="0.35">
      <c r="A364">
        <v>337</v>
      </c>
      <c r="B364">
        <v>7.7499999999999999E-2</v>
      </c>
      <c r="C364">
        <f t="shared" si="36"/>
        <v>6.4583333333333333E-3</v>
      </c>
      <c r="D364">
        <v>2727.1094332622401</v>
      </c>
      <c r="E364">
        <v>0</v>
      </c>
      <c r="F364">
        <f t="shared" si="37"/>
        <v>2727.1094332622401</v>
      </c>
      <c r="G364" s="10">
        <f t="shared" si="38"/>
        <v>390.40725735736066</v>
      </c>
      <c r="H364" s="10">
        <f t="shared" si="39"/>
        <v>2336.7021759048794</v>
      </c>
      <c r="I364" s="10">
        <f t="shared" si="40"/>
        <v>58113.453802009026</v>
      </c>
      <c r="J364">
        <f t="shared" si="41"/>
        <v>-2727.1094332622401</v>
      </c>
    </row>
    <row r="365" spans="1:10" x14ac:dyDescent="0.35">
      <c r="A365">
        <v>338</v>
      </c>
      <c r="B365">
        <v>7.7499999999999999E-2</v>
      </c>
      <c r="C365">
        <f t="shared" si="36"/>
        <v>6.4583333333333333E-3</v>
      </c>
      <c r="D365">
        <v>2727.1094332622401</v>
      </c>
      <c r="E365">
        <v>0</v>
      </c>
      <c r="F365">
        <f t="shared" si="37"/>
        <v>2727.1094332622401</v>
      </c>
      <c r="G365" s="10">
        <f t="shared" si="38"/>
        <v>375.31605580464162</v>
      </c>
      <c r="H365" s="10">
        <f t="shared" si="39"/>
        <v>2351.7933774575986</v>
      </c>
      <c r="I365" s="10">
        <f t="shared" si="40"/>
        <v>55761.660424551425</v>
      </c>
      <c r="J365">
        <f t="shared" si="41"/>
        <v>-2727.1094332622401</v>
      </c>
    </row>
    <row r="366" spans="1:10" x14ac:dyDescent="0.35">
      <c r="A366">
        <v>339</v>
      </c>
      <c r="B366">
        <v>7.7499999999999999E-2</v>
      </c>
      <c r="C366">
        <f t="shared" si="36"/>
        <v>6.4583333333333333E-3</v>
      </c>
      <c r="D366">
        <v>2727.1094332622401</v>
      </c>
      <c r="E366">
        <v>0</v>
      </c>
      <c r="F366">
        <f t="shared" si="37"/>
        <v>2727.1094332622401</v>
      </c>
      <c r="G366" s="10">
        <f t="shared" si="38"/>
        <v>360.1273902418946</v>
      </c>
      <c r="H366" s="10">
        <f t="shared" si="39"/>
        <v>2366.9820430203454</v>
      </c>
      <c r="I366" s="10">
        <f t="shared" si="40"/>
        <v>53394.678381531077</v>
      </c>
      <c r="J366">
        <f t="shared" si="41"/>
        <v>-2727.1094332622401</v>
      </c>
    </row>
    <row r="367" spans="1:10" x14ac:dyDescent="0.35">
      <c r="A367">
        <v>340</v>
      </c>
      <c r="B367">
        <v>7.7499999999999999E-2</v>
      </c>
      <c r="C367">
        <f t="shared" si="36"/>
        <v>6.4583333333333333E-3</v>
      </c>
      <c r="D367">
        <v>2727.1094332622401</v>
      </c>
      <c r="E367">
        <v>0</v>
      </c>
      <c r="F367">
        <f t="shared" si="37"/>
        <v>2727.1094332622401</v>
      </c>
      <c r="G367" s="10">
        <f t="shared" si="38"/>
        <v>344.84063121405489</v>
      </c>
      <c r="H367" s="10">
        <f t="shared" si="39"/>
        <v>2382.2688020481851</v>
      </c>
      <c r="I367" s="10">
        <f t="shared" si="40"/>
        <v>51012.40957948289</v>
      </c>
      <c r="J367">
        <f t="shared" si="41"/>
        <v>-2727.1094332622401</v>
      </c>
    </row>
    <row r="368" spans="1:10" x14ac:dyDescent="0.35">
      <c r="A368">
        <v>341</v>
      </c>
      <c r="B368">
        <v>7.7499999999999999E-2</v>
      </c>
      <c r="C368">
        <f t="shared" si="36"/>
        <v>6.4583333333333333E-3</v>
      </c>
      <c r="D368">
        <v>2727.1094332622401</v>
      </c>
      <c r="E368">
        <v>0</v>
      </c>
      <c r="F368">
        <f t="shared" si="37"/>
        <v>2727.1094332622401</v>
      </c>
      <c r="G368" s="10">
        <f t="shared" si="38"/>
        <v>329.45514520082702</v>
      </c>
      <c r="H368" s="10">
        <f t="shared" si="39"/>
        <v>2397.6542880614134</v>
      </c>
      <c r="I368" s="10">
        <f t="shared" si="40"/>
        <v>48614.755291421476</v>
      </c>
      <c r="J368">
        <f t="shared" si="41"/>
        <v>-2727.1094332622401</v>
      </c>
    </row>
    <row r="369" spans="1:10" x14ac:dyDescent="0.35">
      <c r="A369">
        <v>342</v>
      </c>
      <c r="B369">
        <v>7.7499999999999999E-2</v>
      </c>
      <c r="C369">
        <f t="shared" si="36"/>
        <v>6.4583333333333333E-3</v>
      </c>
      <c r="D369">
        <v>2727.1094332622401</v>
      </c>
      <c r="E369">
        <v>0</v>
      </c>
      <c r="F369">
        <f t="shared" si="37"/>
        <v>2727.1094332622401</v>
      </c>
      <c r="G369" s="10">
        <f t="shared" si="38"/>
        <v>313.97029459043034</v>
      </c>
      <c r="H369" s="10">
        <f t="shared" si="39"/>
        <v>2413.1391386718096</v>
      </c>
      <c r="I369" s="10">
        <f t="shared" si="40"/>
        <v>46201.616152749666</v>
      </c>
      <c r="J369">
        <f t="shared" si="41"/>
        <v>-2727.1094332622401</v>
      </c>
    </row>
    <row r="370" spans="1:10" x14ac:dyDescent="0.35">
      <c r="A370">
        <v>343</v>
      </c>
      <c r="B370">
        <v>7.7499999999999999E-2</v>
      </c>
      <c r="C370">
        <f t="shared" si="36"/>
        <v>6.4583333333333333E-3</v>
      </c>
      <c r="D370">
        <v>2727.1094332622401</v>
      </c>
      <c r="E370">
        <v>0</v>
      </c>
      <c r="F370">
        <f t="shared" si="37"/>
        <v>2727.1094332622401</v>
      </c>
      <c r="G370" s="10">
        <f t="shared" si="38"/>
        <v>298.3854376531749</v>
      </c>
      <c r="H370" s="10">
        <f t="shared" si="39"/>
        <v>2428.7239956090652</v>
      </c>
      <c r="I370" s="10">
        <f t="shared" si="40"/>
        <v>43772.892157140603</v>
      </c>
      <c r="J370">
        <f t="shared" si="41"/>
        <v>-2727.1094332622401</v>
      </c>
    </row>
    <row r="371" spans="1:10" x14ac:dyDescent="0.35">
      <c r="A371">
        <v>344</v>
      </c>
      <c r="B371">
        <v>7.7499999999999999E-2</v>
      </c>
      <c r="C371">
        <f t="shared" si="36"/>
        <v>6.4583333333333333E-3</v>
      </c>
      <c r="D371">
        <v>2727.1094332622401</v>
      </c>
      <c r="E371">
        <v>0</v>
      </c>
      <c r="F371">
        <f t="shared" si="37"/>
        <v>2727.1094332622401</v>
      </c>
      <c r="G371" s="10">
        <f t="shared" si="38"/>
        <v>282.69992851486637</v>
      </c>
      <c r="H371" s="10">
        <f t="shared" si="39"/>
        <v>2444.4095047473738</v>
      </c>
      <c r="I371" s="10">
        <f t="shared" si="40"/>
        <v>41328.482652393228</v>
      </c>
      <c r="J371">
        <f t="shared" si="41"/>
        <v>-2727.1094332622401</v>
      </c>
    </row>
    <row r="372" spans="1:10" x14ac:dyDescent="0.35">
      <c r="A372">
        <v>345</v>
      </c>
      <c r="B372">
        <v>7.7499999999999999E-2</v>
      </c>
      <c r="C372">
        <f t="shared" si="36"/>
        <v>6.4583333333333333E-3</v>
      </c>
      <c r="D372">
        <v>2727.1094332622401</v>
      </c>
      <c r="E372">
        <v>0</v>
      </c>
      <c r="F372">
        <f t="shared" si="37"/>
        <v>2727.1094332622401</v>
      </c>
      <c r="G372" s="10">
        <f t="shared" si="38"/>
        <v>266.91311713003961</v>
      </c>
      <c r="H372" s="10">
        <f t="shared" si="39"/>
        <v>2460.1963161322005</v>
      </c>
      <c r="I372" s="10">
        <f t="shared" si="40"/>
        <v>38868.28633626103</v>
      </c>
      <c r="J372">
        <f t="shared" si="41"/>
        <v>-2727.1094332622401</v>
      </c>
    </row>
    <row r="373" spans="1:10" x14ac:dyDescent="0.35">
      <c r="A373">
        <v>346</v>
      </c>
      <c r="B373">
        <v>7.7499999999999999E-2</v>
      </c>
      <c r="C373">
        <f t="shared" si="36"/>
        <v>6.4583333333333333E-3</v>
      </c>
      <c r="D373">
        <v>2727.1094332622401</v>
      </c>
      <c r="E373">
        <v>0</v>
      </c>
      <c r="F373">
        <f t="shared" si="37"/>
        <v>2727.1094332622401</v>
      </c>
      <c r="G373" s="10">
        <f t="shared" si="38"/>
        <v>251.02434925501916</v>
      </c>
      <c r="H373" s="10">
        <f t="shared" si="39"/>
        <v>2476.0850840072208</v>
      </c>
      <c r="I373" s="10">
        <f t="shared" si="40"/>
        <v>36392.201252253806</v>
      </c>
      <c r="J373">
        <f t="shared" si="41"/>
        <v>-2727.1094332622401</v>
      </c>
    </row>
    <row r="374" spans="1:10" x14ac:dyDescent="0.35">
      <c r="A374">
        <v>347</v>
      </c>
      <c r="B374">
        <v>7.7499999999999999E-2</v>
      </c>
      <c r="C374">
        <f t="shared" si="36"/>
        <v>6.4583333333333333E-3</v>
      </c>
      <c r="D374">
        <v>2727.1094332622401</v>
      </c>
      <c r="E374">
        <v>0</v>
      </c>
      <c r="F374">
        <f t="shared" si="37"/>
        <v>2727.1094332622401</v>
      </c>
      <c r="G374" s="10">
        <f t="shared" si="38"/>
        <v>235.03296642080582</v>
      </c>
      <c r="H374" s="10">
        <f t="shared" si="39"/>
        <v>2492.0764668414345</v>
      </c>
      <c r="I374" s="10">
        <f t="shared" si="40"/>
        <v>33900.124785412372</v>
      </c>
      <c r="J374">
        <f t="shared" si="41"/>
        <v>-2727.1094332622401</v>
      </c>
    </row>
    <row r="375" spans="1:10" x14ac:dyDescent="0.35">
      <c r="A375">
        <v>348</v>
      </c>
      <c r="B375">
        <v>7.7499999999999999E-2</v>
      </c>
      <c r="C375">
        <f t="shared" si="36"/>
        <v>6.4583333333333333E-3</v>
      </c>
      <c r="D375">
        <v>2727.1094332622401</v>
      </c>
      <c r="E375">
        <v>0</v>
      </c>
      <c r="F375">
        <f t="shared" si="37"/>
        <v>2727.1094332622401</v>
      </c>
      <c r="G375" s="10">
        <f t="shared" si="38"/>
        <v>218.93830590578824</v>
      </c>
      <c r="H375" s="10">
        <f t="shared" si="39"/>
        <v>2508.171127356452</v>
      </c>
      <c r="I375" s="10">
        <f t="shared" si="40"/>
        <v>31391.953658055922</v>
      </c>
      <c r="J375">
        <f t="shared" si="41"/>
        <v>-2727.1094332622401</v>
      </c>
    </row>
    <row r="376" spans="1:10" x14ac:dyDescent="0.35">
      <c r="A376">
        <v>349</v>
      </c>
      <c r="B376">
        <v>7.7499999999999999E-2</v>
      </c>
      <c r="C376">
        <f t="shared" si="36"/>
        <v>6.4583333333333333E-3</v>
      </c>
      <c r="D376">
        <v>2727.1094332622401</v>
      </c>
      <c r="E376">
        <v>0</v>
      </c>
      <c r="F376">
        <f t="shared" si="37"/>
        <v>2727.1094332622401</v>
      </c>
      <c r="G376" s="10">
        <f t="shared" si="38"/>
        <v>202.73970070827784</v>
      </c>
      <c r="H376" s="10">
        <f t="shared" si="39"/>
        <v>2524.3697325539624</v>
      </c>
      <c r="I376" s="10">
        <f t="shared" si="40"/>
        <v>28867.58392550196</v>
      </c>
      <c r="J376">
        <f t="shared" si="41"/>
        <v>-2727.1094332622401</v>
      </c>
    </row>
    <row r="377" spans="1:10" x14ac:dyDescent="0.35">
      <c r="A377">
        <v>350</v>
      </c>
      <c r="B377">
        <v>7.7499999999999999E-2</v>
      </c>
      <c r="C377">
        <f t="shared" si="36"/>
        <v>6.4583333333333333E-3</v>
      </c>
      <c r="D377">
        <v>2727.1094332622401</v>
      </c>
      <c r="E377">
        <v>0</v>
      </c>
      <c r="F377">
        <f t="shared" si="37"/>
        <v>2727.1094332622401</v>
      </c>
      <c r="G377" s="10">
        <f t="shared" si="38"/>
        <v>186.43647951886683</v>
      </c>
      <c r="H377" s="10">
        <f t="shared" si="39"/>
        <v>2540.6729537433735</v>
      </c>
      <c r="I377" s="10">
        <f t="shared" si="40"/>
        <v>26326.910971758585</v>
      </c>
      <c r="J377">
        <f t="shared" si="41"/>
        <v>-2727.1094332622401</v>
      </c>
    </row>
    <row r="378" spans="1:10" x14ac:dyDescent="0.35">
      <c r="A378">
        <v>351</v>
      </c>
      <c r="B378">
        <v>7.7499999999999999E-2</v>
      </c>
      <c r="C378">
        <f t="shared" si="36"/>
        <v>6.4583333333333333E-3</v>
      </c>
      <c r="D378">
        <v>2727.1094332622401</v>
      </c>
      <c r="E378">
        <v>0</v>
      </c>
      <c r="F378">
        <f t="shared" si="37"/>
        <v>2727.1094332622401</v>
      </c>
      <c r="G378" s="10">
        <f t="shared" si="38"/>
        <v>170.02796669260752</v>
      </c>
      <c r="H378" s="10">
        <f t="shared" si="39"/>
        <v>2557.0814665696325</v>
      </c>
      <c r="I378" s="10">
        <f t="shared" si="40"/>
        <v>23769.829505188951</v>
      </c>
      <c r="J378">
        <f t="shared" si="41"/>
        <v>-2727.1094332622401</v>
      </c>
    </row>
    <row r="379" spans="1:10" x14ac:dyDescent="0.35">
      <c r="A379">
        <v>352</v>
      </c>
      <c r="B379">
        <v>7.7499999999999999E-2</v>
      </c>
      <c r="C379">
        <f t="shared" si="36"/>
        <v>6.4583333333333333E-3</v>
      </c>
      <c r="D379">
        <v>2727.1094332622401</v>
      </c>
      <c r="E379">
        <v>0</v>
      </c>
      <c r="F379">
        <f t="shared" si="37"/>
        <v>2727.1094332622401</v>
      </c>
      <c r="G379" s="10">
        <f t="shared" si="38"/>
        <v>153.51348222101197</v>
      </c>
      <c r="H379" s="10">
        <f t="shared" si="39"/>
        <v>2573.5959510412281</v>
      </c>
      <c r="I379" s="10">
        <f t="shared" si="40"/>
        <v>21196.233554147722</v>
      </c>
      <c r="J379">
        <f t="shared" si="41"/>
        <v>-2727.1094332622401</v>
      </c>
    </row>
    <row r="380" spans="1:10" x14ac:dyDescent="0.35">
      <c r="A380">
        <v>353</v>
      </c>
      <c r="B380">
        <v>7.7499999999999999E-2</v>
      </c>
      <c r="C380">
        <f t="shared" si="36"/>
        <v>6.4583333333333333E-3</v>
      </c>
      <c r="D380">
        <v>2727.1094332622401</v>
      </c>
      <c r="E380">
        <v>0</v>
      </c>
      <c r="F380">
        <f t="shared" si="37"/>
        <v>2727.1094332622401</v>
      </c>
      <c r="G380" s="10">
        <f t="shared" si="38"/>
        <v>136.8923417038707</v>
      </c>
      <c r="H380" s="10">
        <f t="shared" si="39"/>
        <v>2590.2170915583692</v>
      </c>
      <c r="I380" s="10">
        <f t="shared" si="40"/>
        <v>18606.016462589352</v>
      </c>
      <c r="J380">
        <f t="shared" si="41"/>
        <v>-2727.1094332622401</v>
      </c>
    </row>
    <row r="381" spans="1:10" x14ac:dyDescent="0.35">
      <c r="A381">
        <v>354</v>
      </c>
      <c r="B381">
        <v>7.7499999999999999E-2</v>
      </c>
      <c r="C381">
        <f t="shared" si="36"/>
        <v>6.4583333333333333E-3</v>
      </c>
      <c r="D381">
        <v>2727.1094332622401</v>
      </c>
      <c r="E381">
        <v>0</v>
      </c>
      <c r="F381">
        <f t="shared" si="37"/>
        <v>2727.1094332622401</v>
      </c>
      <c r="G381" s="10">
        <f t="shared" si="38"/>
        <v>120.16385632088956</v>
      </c>
      <c r="H381" s="10">
        <f t="shared" si="39"/>
        <v>2606.9455769413507</v>
      </c>
      <c r="I381" s="10">
        <f t="shared" si="40"/>
        <v>15999.070885648001</v>
      </c>
      <c r="J381">
        <f t="shared" si="41"/>
        <v>-2727.1094332622401</v>
      </c>
    </row>
    <row r="382" spans="1:10" x14ac:dyDescent="0.35">
      <c r="A382">
        <v>355</v>
      </c>
      <c r="B382">
        <v>7.7499999999999999E-2</v>
      </c>
      <c r="C382">
        <f t="shared" si="36"/>
        <v>6.4583333333333333E-3</v>
      </c>
      <c r="D382">
        <v>2727.1094332622401</v>
      </c>
      <c r="E382">
        <v>0</v>
      </c>
      <c r="F382">
        <f t="shared" si="37"/>
        <v>2727.1094332622401</v>
      </c>
      <c r="G382" s="10">
        <f t="shared" si="38"/>
        <v>103.32733280314334</v>
      </c>
      <c r="H382" s="10">
        <f t="shared" si="39"/>
        <v>2623.7821004590969</v>
      </c>
      <c r="I382" s="10">
        <f t="shared" si="40"/>
        <v>13375.288785188905</v>
      </c>
      <c r="J382">
        <f t="shared" si="41"/>
        <v>-2727.1094332622401</v>
      </c>
    </row>
    <row r="383" spans="1:10" x14ac:dyDescent="0.35">
      <c r="A383">
        <v>356</v>
      </c>
      <c r="B383">
        <v>7.7499999999999999E-2</v>
      </c>
      <c r="C383">
        <f t="shared" si="36"/>
        <v>6.4583333333333333E-3</v>
      </c>
      <c r="D383">
        <v>2727.1094332622401</v>
      </c>
      <c r="E383">
        <v>0</v>
      </c>
      <c r="F383">
        <f t="shared" si="37"/>
        <v>2727.1094332622401</v>
      </c>
      <c r="G383" s="10">
        <f t="shared" si="38"/>
        <v>86.382073404345007</v>
      </c>
      <c r="H383" s="10">
        <f t="shared" si="39"/>
        <v>2640.727359857895</v>
      </c>
      <c r="I383" s="10">
        <f t="shared" si="40"/>
        <v>10734.561425331009</v>
      </c>
      <c r="J383">
        <f t="shared" si="41"/>
        <v>-2727.1094332622401</v>
      </c>
    </row>
    <row r="384" spans="1:10" x14ac:dyDescent="0.35">
      <c r="A384">
        <v>357</v>
      </c>
      <c r="B384">
        <v>7.7499999999999999E-2</v>
      </c>
      <c r="C384">
        <f t="shared" si="36"/>
        <v>6.4583333333333333E-3</v>
      </c>
      <c r="D384">
        <v>2727.1094332622401</v>
      </c>
      <c r="E384">
        <v>0</v>
      </c>
      <c r="F384">
        <f t="shared" si="37"/>
        <v>2727.1094332622401</v>
      </c>
      <c r="G384" s="10">
        <f t="shared" si="38"/>
        <v>69.327375871929434</v>
      </c>
      <c r="H384" s="10">
        <f t="shared" si="39"/>
        <v>2657.7820573903109</v>
      </c>
      <c r="I384" s="10">
        <f t="shared" si="40"/>
        <v>8076.7793679406977</v>
      </c>
      <c r="J384">
        <f t="shared" si="41"/>
        <v>-2727.1094332622401</v>
      </c>
    </row>
    <row r="385" spans="1:10" x14ac:dyDescent="0.35">
      <c r="A385">
        <v>358</v>
      </c>
      <c r="B385">
        <v>7.7499999999999999E-2</v>
      </c>
      <c r="C385">
        <f t="shared" si="36"/>
        <v>6.4583333333333333E-3</v>
      </c>
      <c r="D385">
        <v>2727.1094332622401</v>
      </c>
      <c r="E385">
        <v>0</v>
      </c>
      <c r="F385">
        <f t="shared" si="37"/>
        <v>2727.1094332622401</v>
      </c>
      <c r="G385" s="10">
        <f t="shared" si="38"/>
        <v>52.162533417950343</v>
      </c>
      <c r="H385" s="10">
        <f t="shared" si="39"/>
        <v>2674.9468998442899</v>
      </c>
      <c r="I385" s="10">
        <f t="shared" si="40"/>
        <v>5401.8324680964079</v>
      </c>
      <c r="J385">
        <f t="shared" si="41"/>
        <v>-2727.1094332622401</v>
      </c>
    </row>
    <row r="386" spans="1:10" x14ac:dyDescent="0.35">
      <c r="A386">
        <v>359</v>
      </c>
      <c r="B386">
        <v>7.7499999999999999E-2</v>
      </c>
      <c r="C386">
        <f t="shared" si="36"/>
        <v>6.4583333333333333E-3</v>
      </c>
      <c r="D386">
        <v>2727.1094332622401</v>
      </c>
      <c r="E386">
        <v>0</v>
      </c>
      <c r="F386">
        <f t="shared" si="37"/>
        <v>2727.1094332622401</v>
      </c>
      <c r="G386" s="10">
        <f t="shared" si="38"/>
        <v>34.886834689789303</v>
      </c>
      <c r="H386" s="10">
        <f t="shared" si="39"/>
        <v>2692.2225985724508</v>
      </c>
      <c r="I386" s="10">
        <f t="shared" si="40"/>
        <v>2709.6098695239571</v>
      </c>
      <c r="J386">
        <f t="shared" si="41"/>
        <v>-2727.1094332622401</v>
      </c>
    </row>
    <row r="387" spans="1:10" x14ac:dyDescent="0.35">
      <c r="A387">
        <v>360</v>
      </c>
      <c r="B387">
        <v>7.7499999999999999E-2</v>
      </c>
      <c r="C387">
        <f t="shared" si="36"/>
        <v>6.4583333333333333E-3</v>
      </c>
      <c r="D387">
        <v>2727.1094332622401</v>
      </c>
      <c r="E387">
        <v>0</v>
      </c>
      <c r="F387">
        <f t="shared" si="37"/>
        <v>2727.1094332622401</v>
      </c>
      <c r="G387" s="10">
        <f t="shared" si="38"/>
        <v>17.499563740675555</v>
      </c>
      <c r="H387" s="10">
        <f t="shared" si="39"/>
        <v>2709.6098695215646</v>
      </c>
      <c r="I387" s="10">
        <f t="shared" si="40"/>
        <v>2.3924258130136877E-9</v>
      </c>
      <c r="J387">
        <f t="shared" si="41"/>
        <v>-2727.1094332622401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3E151-9D41-488F-BCF9-49F7A4E48717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8BB62-133B-474D-9CC4-C14263C74E09}">
  <dimension ref="B2:B6"/>
  <sheetViews>
    <sheetView workbookViewId="0">
      <selection activeCell="B16" sqref="B16"/>
    </sheetView>
  </sheetViews>
  <sheetFormatPr defaultRowHeight="14.5" x14ac:dyDescent="0.35"/>
  <cols>
    <col min="2" max="2" width="74.81640625" bestFit="1" customWidth="1"/>
  </cols>
  <sheetData>
    <row r="2" spans="2:2" x14ac:dyDescent="0.35">
      <c r="B2" s="4" t="s">
        <v>28</v>
      </c>
    </row>
    <row r="4" spans="2:2" x14ac:dyDescent="0.35">
      <c r="B4" t="s">
        <v>29</v>
      </c>
    </row>
    <row r="6" spans="2:2" x14ac:dyDescent="0.35">
      <c r="B6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Irish K Sajan</dc:creator>
  <cp:lastModifiedBy>Irish K Sajan</cp:lastModifiedBy>
  <dcterms:created xsi:type="dcterms:W3CDTF">2026-03-31T08:42:27Z</dcterms:created>
  <dcterms:modified xsi:type="dcterms:W3CDTF">2026-04-10T07:15:09Z</dcterms:modified>
</cp:coreProperties>
</file>